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condivisi\NA-CM\MOST - Dashboard\Droni\Inviare\"/>
    </mc:Choice>
  </mc:AlternateContent>
  <xr:revisionPtr revIDLastSave="0" documentId="13_ncr:1_{B8CFDE94-BBAE-4189-9AD5-414739706ED6}" xr6:coauthVersionLast="36" xr6:coauthVersionMax="36" xr10:uidLastSave="{00000000-0000-0000-0000-000000000000}"/>
  <bookViews>
    <workbookView xWindow="0" yWindow="0" windowWidth="28800" windowHeight="12225" xr2:uid="{18FDA2AF-146F-421D-B3E1-DE95AC9941A7}"/>
  </bookViews>
  <sheets>
    <sheet name="Data_mappa" sheetId="2" r:id="rId1"/>
    <sheet name="Dati complessivi" sheetId="3" r:id="rId2"/>
    <sheet name="Tabella" sheetId="4" r:id="rId3"/>
  </sheets>
  <definedNames>
    <definedName name="_xlnm._FilterDatabase" localSheetId="0" hidden="1">Data_mappa!$A$1:$O$853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4" l="1"/>
  <c r="I11" i="4"/>
  <c r="J11" i="4" s="1"/>
  <c r="G11" i="4"/>
  <c r="F11" i="4"/>
  <c r="C11" i="4"/>
  <c r="D11" i="4" s="1"/>
  <c r="I10" i="4"/>
  <c r="J10" i="4" s="1"/>
  <c r="G10" i="4"/>
  <c r="F10" i="4"/>
  <c r="C10" i="4"/>
  <c r="D10" i="4" s="1"/>
  <c r="I9" i="4"/>
  <c r="J9" i="4" s="1"/>
  <c r="G9" i="4"/>
  <c r="F9" i="4"/>
  <c r="C9" i="4"/>
  <c r="D9" i="4" s="1"/>
  <c r="I8" i="4"/>
  <c r="J8" i="4" s="1"/>
  <c r="F8" i="4"/>
  <c r="G8" i="4" s="1"/>
  <c r="C8" i="4"/>
  <c r="D8" i="4" s="1"/>
  <c r="J7" i="4"/>
  <c r="I7" i="4"/>
  <c r="F7" i="4"/>
  <c r="G7" i="4" s="1"/>
  <c r="C7" i="4"/>
  <c r="D7" i="4" s="1"/>
  <c r="F34" i="3" l="1"/>
  <c r="F33" i="3"/>
  <c r="F32" i="3"/>
  <c r="F31" i="3"/>
  <c r="E31" i="3"/>
  <c r="F30" i="3"/>
  <c r="F29" i="3"/>
  <c r="F28" i="3"/>
  <c r="D28" i="3"/>
  <c r="F27" i="3"/>
  <c r="F26" i="3"/>
  <c r="F25" i="3"/>
  <c r="F24" i="3"/>
  <c r="D13" i="3"/>
</calcChain>
</file>

<file path=xl/sharedStrings.xml><?xml version="1.0" encoding="utf-8"?>
<sst xmlns="http://schemas.openxmlformats.org/spreadsheetml/2006/main" count="2622" uniqueCount="55">
  <si>
    <t>Origin</t>
  </si>
  <si>
    <t>Destination</t>
  </si>
  <si>
    <t>nr_flights</t>
  </si>
  <si>
    <t>peso_trasport</t>
  </si>
  <si>
    <t>CO2_reduction</t>
  </si>
  <si>
    <t>nr_movs_replaced</t>
  </si>
  <si>
    <t>peso_diverted</t>
  </si>
  <si>
    <t>cargo</t>
  </si>
  <si>
    <t>co2</t>
  </si>
  <si>
    <t>movements</t>
  </si>
  <si>
    <t>lat_dest</t>
  </si>
  <si>
    <t>lon_dest</t>
  </si>
  <si>
    <t>lat_origin</t>
  </si>
  <si>
    <t>lon_origin</t>
  </si>
  <si>
    <t>Nr. Drones</t>
  </si>
  <si>
    <t>M1</t>
  </si>
  <si>
    <t>M2</t>
  </si>
  <si>
    <t>M3</t>
  </si>
  <si>
    <t>Max</t>
  </si>
  <si>
    <t>Max_achievable</t>
  </si>
  <si>
    <t>metrica</t>
  </si>
  <si>
    <t>Nr. drones</t>
  </si>
  <si>
    <t>Ground movements replaced</t>
  </si>
  <si>
    <t>CO2 emissions avoided</t>
  </si>
  <si>
    <t>kg</t>
  </si>
  <si>
    <t>%</t>
  </si>
  <si>
    <t>Freigth diverted</t>
  </si>
  <si>
    <t>modello</t>
  </si>
  <si>
    <t>droni</t>
  </si>
  <si>
    <t>Origin_name</t>
  </si>
  <si>
    <t>Destination_name</t>
  </si>
  <si>
    <t>FIRENZE</t>
  </si>
  <si>
    <t>CSP FIRENZE</t>
  </si>
  <si>
    <t>PERUGIA</t>
  </si>
  <si>
    <t>CORCIANO</t>
  </si>
  <si>
    <t>CO PERUGIA</t>
  </si>
  <si>
    <t>PRATO</t>
  </si>
  <si>
    <t>BAGNO A RIPOLI</t>
  </si>
  <si>
    <t>SAN GIOVANNI VALDARNO</t>
  </si>
  <si>
    <t>CAMAIORE</t>
  </si>
  <si>
    <t>PIETRASANTA</t>
  </si>
  <si>
    <t>FIGLINE E INCISA VALDARNO</t>
  </si>
  <si>
    <t>MONTEVARCHI</t>
  </si>
  <si>
    <t>PORTOFERRAIO</t>
  </si>
  <si>
    <t>MONTEMURLO</t>
  </si>
  <si>
    <t>SIENA</t>
  </si>
  <si>
    <t>LUCCA</t>
  </si>
  <si>
    <t>CASTELNUOVO DI GARFAGNANA</t>
  </si>
  <si>
    <t>NARNI</t>
  </si>
  <si>
    <t>PISTOIA</t>
  </si>
  <si>
    <t>ROSIGNANO MARITTIMO</t>
  </si>
  <si>
    <t>VIAREGGIO</t>
  </si>
  <si>
    <t>COREGLIA ANTELMINELLI</t>
  </si>
  <si>
    <t>TERNI</t>
  </si>
  <si>
    <t>CECINA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</si>
</sst>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NumberFormat="1"/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3" fontId="0" fillId="0" borderId="0" xfId="0" applyNumberFormat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164" fontId="0" fillId="0" borderId="0" xfId="1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165" fontId="0" fillId="0" borderId="0" xfId="0" applyNumberFormat="1" applyFill="1" applyAlignment="1">
      <alignment horizontal="center" vertical="center"/>
    </xf>
    <xf numFmtId="0" fontId="2" fillId="0" borderId="2" xfId="0" applyFont="1" applyFill="1" applyBorder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BA63-AFDF-4B6B-9590-73489BE8DE70}">
  <dimension ref="A1:O853"/>
  <sheetViews>
    <sheetView tabSelected="1" topLeftCell="A834" workbookViewId="0">
      <selection activeCell="D846" sqref="D846"/>
    </sheetView>
  </sheetViews>
  <sheetFormatPr defaultRowHeight="15" x14ac:dyDescent="0.25"/>
  <cols>
    <col min="1" max="1" width="6.7109375" bestFit="1" customWidth="1"/>
    <col min="2" max="2" width="11.5703125" bestFit="1" customWidth="1"/>
    <col min="3" max="3" width="6.42578125" bestFit="1" customWidth="1"/>
    <col min="4" max="4" width="17" bestFit="1" customWidth="1"/>
    <col min="5" max="5" width="9.42578125" bestFit="1" customWidth="1"/>
    <col min="6" max="6" width="10" bestFit="1" customWidth="1"/>
    <col min="7" max="7" width="11.28515625" bestFit="1" customWidth="1"/>
    <col min="8" max="8" width="30.28515625" bestFit="1" customWidth="1"/>
    <col min="9" max="9" width="8.140625" bestFit="1" customWidth="1"/>
    <col min="11" max="11" width="12" bestFit="1" customWidth="1"/>
    <col min="12" max="12" width="13.42578125" bestFit="1" customWidth="1"/>
    <col min="13" max="13" width="14.28515625" bestFit="1" customWidth="1"/>
    <col min="14" max="14" width="17.5703125" bestFit="1" customWidth="1"/>
    <col min="15" max="15" width="14" bestFit="1" customWidth="1"/>
  </cols>
  <sheetData>
    <row r="1" spans="1:15" x14ac:dyDescent="0.25">
      <c r="A1" s="2" t="s">
        <v>28</v>
      </c>
      <c r="B1" s="2" t="s">
        <v>27</v>
      </c>
      <c r="C1" s="2" t="s">
        <v>0</v>
      </c>
      <c r="D1" s="2" t="s">
        <v>29</v>
      </c>
      <c r="E1" s="2" t="s">
        <v>12</v>
      </c>
      <c r="F1" s="2" t="s">
        <v>13</v>
      </c>
      <c r="G1" s="2" t="s">
        <v>1</v>
      </c>
      <c r="H1" s="2" t="s">
        <v>30</v>
      </c>
      <c r="I1" s="2" t="s">
        <v>10</v>
      </c>
      <c r="J1" s="2" t="s">
        <v>11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</row>
    <row r="2" spans="1:15" x14ac:dyDescent="0.25">
      <c r="A2">
        <v>10</v>
      </c>
      <c r="B2" t="s">
        <v>7</v>
      </c>
      <c r="C2" s="1">
        <v>25290</v>
      </c>
      <c r="D2" s="1" t="s">
        <v>32</v>
      </c>
      <c r="E2">
        <v>43.81803</v>
      </c>
      <c r="F2">
        <v>11.211550000000001</v>
      </c>
      <c r="G2" s="1">
        <v>25398</v>
      </c>
      <c r="H2" s="1" t="s">
        <v>31</v>
      </c>
      <c r="I2">
        <v>43.769460000000002</v>
      </c>
      <c r="J2">
        <v>11.19172</v>
      </c>
      <c r="K2">
        <v>4</v>
      </c>
      <c r="L2">
        <v>202.9</v>
      </c>
      <c r="M2">
        <v>3405.1465477926072</v>
      </c>
      <c r="N2">
        <v>1</v>
      </c>
      <c r="O2">
        <v>202.9</v>
      </c>
    </row>
    <row r="3" spans="1:15" x14ac:dyDescent="0.25">
      <c r="A3">
        <v>10</v>
      </c>
      <c r="B3" t="s">
        <v>7</v>
      </c>
      <c r="C3" s="1">
        <v>25290</v>
      </c>
      <c r="D3" s="1" t="s">
        <v>32</v>
      </c>
      <c r="E3">
        <v>43.81803</v>
      </c>
      <c r="F3">
        <v>11.211550000000001</v>
      </c>
      <c r="G3" s="1">
        <v>25400</v>
      </c>
      <c r="H3" s="1" t="s">
        <v>31</v>
      </c>
      <c r="I3">
        <v>43.798690000000001</v>
      </c>
      <c r="J3">
        <v>11.20762</v>
      </c>
      <c r="K3">
        <v>65</v>
      </c>
      <c r="L3">
        <v>5580.6537946198496</v>
      </c>
      <c r="M3">
        <v>8385.26451811884</v>
      </c>
      <c r="N3">
        <v>6</v>
      </c>
      <c r="O3">
        <v>5440.56</v>
      </c>
    </row>
    <row r="4" spans="1:15" x14ac:dyDescent="0.25">
      <c r="A4">
        <v>10</v>
      </c>
      <c r="B4" t="s">
        <v>7</v>
      </c>
      <c r="C4" s="1">
        <v>25398</v>
      </c>
      <c r="D4" s="1" t="s">
        <v>31</v>
      </c>
      <c r="E4">
        <v>43.769460000000002</v>
      </c>
      <c r="F4">
        <v>11.19172</v>
      </c>
      <c r="G4" s="1">
        <v>25290</v>
      </c>
      <c r="H4" s="1" t="s">
        <v>32</v>
      </c>
      <c r="I4">
        <v>43.81803</v>
      </c>
      <c r="J4">
        <v>11.211550000000001</v>
      </c>
      <c r="K4">
        <v>13</v>
      </c>
      <c r="L4">
        <v>38</v>
      </c>
      <c r="M4">
        <v>4377.3511296034876</v>
      </c>
      <c r="N4">
        <v>1</v>
      </c>
      <c r="O4">
        <v>38</v>
      </c>
    </row>
    <row r="5" spans="1:15" x14ac:dyDescent="0.25">
      <c r="A5">
        <v>10</v>
      </c>
      <c r="B5" t="s">
        <v>7</v>
      </c>
      <c r="C5" s="1">
        <v>25400</v>
      </c>
      <c r="D5" s="1" t="s">
        <v>31</v>
      </c>
      <c r="E5">
        <v>43.798690000000001</v>
      </c>
      <c r="F5">
        <v>11.20762</v>
      </c>
      <c r="G5" s="1">
        <v>25290</v>
      </c>
      <c r="H5" s="1" t="s">
        <v>32</v>
      </c>
      <c r="I5">
        <v>43.81803</v>
      </c>
      <c r="J5">
        <v>11.211550000000001</v>
      </c>
      <c r="K5">
        <v>43</v>
      </c>
      <c r="L5">
        <v>159.91999999999999</v>
      </c>
      <c r="M5">
        <v>2673.5625999799199</v>
      </c>
      <c r="N5">
        <v>2</v>
      </c>
      <c r="O5">
        <v>159.91999999999999</v>
      </c>
    </row>
    <row r="6" spans="1:15" x14ac:dyDescent="0.25">
      <c r="A6">
        <v>10</v>
      </c>
      <c r="B6" t="s">
        <v>7</v>
      </c>
      <c r="C6" s="1">
        <v>25400</v>
      </c>
      <c r="D6" s="1" t="s">
        <v>31</v>
      </c>
      <c r="E6">
        <v>43.798690000000001</v>
      </c>
      <c r="F6">
        <v>11.20762</v>
      </c>
      <c r="G6" s="1">
        <v>25398</v>
      </c>
      <c r="H6" s="1" t="s">
        <v>31</v>
      </c>
      <c r="I6">
        <v>43.769460000000002</v>
      </c>
      <c r="J6">
        <v>11.19172</v>
      </c>
      <c r="K6">
        <v>13</v>
      </c>
      <c r="L6">
        <v>961.4</v>
      </c>
      <c r="M6">
        <v>2989.529089068456</v>
      </c>
      <c r="N6">
        <v>2</v>
      </c>
      <c r="O6">
        <v>961.4</v>
      </c>
    </row>
    <row r="7" spans="1:15" x14ac:dyDescent="0.25">
      <c r="A7">
        <v>10</v>
      </c>
      <c r="B7" t="s">
        <v>7</v>
      </c>
      <c r="C7" s="1">
        <v>25401</v>
      </c>
      <c r="D7" s="1" t="s">
        <v>36</v>
      </c>
      <c r="E7">
        <v>43.87838</v>
      </c>
      <c r="F7">
        <v>11.103210000000001</v>
      </c>
      <c r="G7" s="1">
        <v>25290</v>
      </c>
      <c r="H7" s="1" t="s">
        <v>32</v>
      </c>
      <c r="I7">
        <v>43.81803</v>
      </c>
      <c r="J7">
        <v>11.211550000000001</v>
      </c>
      <c r="K7">
        <v>1</v>
      </c>
      <c r="L7">
        <v>18.009686923081549</v>
      </c>
      <c r="M7">
        <v>0</v>
      </c>
      <c r="N7">
        <v>0</v>
      </c>
      <c r="O7">
        <v>0</v>
      </c>
    </row>
    <row r="8" spans="1:15" x14ac:dyDescent="0.25">
      <c r="A8">
        <v>10</v>
      </c>
      <c r="B8" t="s">
        <v>7</v>
      </c>
      <c r="C8" s="1">
        <v>46445</v>
      </c>
      <c r="D8" s="1" t="s">
        <v>35</v>
      </c>
      <c r="E8">
        <v>43.10801</v>
      </c>
      <c r="F8">
        <v>12.377940000000001</v>
      </c>
      <c r="G8" s="1">
        <v>46468</v>
      </c>
      <c r="H8" s="1" t="s">
        <v>33</v>
      </c>
      <c r="I8">
        <v>43.116489999999999</v>
      </c>
      <c r="J8">
        <v>12.45126</v>
      </c>
      <c r="K8">
        <v>1</v>
      </c>
      <c r="L8">
        <v>56.631482131238108</v>
      </c>
      <c r="M8">
        <v>2187.4603090744799</v>
      </c>
      <c r="N8">
        <v>1</v>
      </c>
      <c r="O8">
        <v>36</v>
      </c>
    </row>
    <row r="9" spans="1:15" x14ac:dyDescent="0.25">
      <c r="A9">
        <v>10</v>
      </c>
      <c r="B9" t="s">
        <v>7</v>
      </c>
      <c r="C9" s="1">
        <v>46445</v>
      </c>
      <c r="D9" s="1" t="s">
        <v>35</v>
      </c>
      <c r="E9">
        <v>43.10801</v>
      </c>
      <c r="F9">
        <v>12.377940000000001</v>
      </c>
      <c r="G9" s="1">
        <v>46471</v>
      </c>
      <c r="H9" s="1" t="s">
        <v>34</v>
      </c>
      <c r="I9">
        <v>43.10031</v>
      </c>
      <c r="J9">
        <v>12.318519999999999</v>
      </c>
      <c r="K9">
        <v>6</v>
      </c>
      <c r="L9">
        <v>377</v>
      </c>
      <c r="M9">
        <v>5420.0405435956563</v>
      </c>
      <c r="N9">
        <v>3</v>
      </c>
      <c r="O9">
        <v>377</v>
      </c>
    </row>
    <row r="10" spans="1:15" x14ac:dyDescent="0.25">
      <c r="A10">
        <v>10</v>
      </c>
      <c r="B10" t="s">
        <v>7</v>
      </c>
      <c r="C10" s="1">
        <v>46471</v>
      </c>
      <c r="D10" s="1" t="s">
        <v>34</v>
      </c>
      <c r="E10">
        <v>43.10031</v>
      </c>
      <c r="F10">
        <v>12.318519999999999</v>
      </c>
      <c r="G10" s="1">
        <v>46445</v>
      </c>
      <c r="H10" s="1" t="s">
        <v>35</v>
      </c>
      <c r="I10">
        <v>43.10801</v>
      </c>
      <c r="J10">
        <v>12.377940000000001</v>
      </c>
      <c r="K10">
        <v>7</v>
      </c>
      <c r="L10">
        <v>457.92366946223342</v>
      </c>
      <c r="M10">
        <v>0</v>
      </c>
      <c r="N10">
        <v>0</v>
      </c>
      <c r="O10">
        <v>0</v>
      </c>
    </row>
    <row r="11" spans="1:15" x14ac:dyDescent="0.25">
      <c r="A11">
        <v>10</v>
      </c>
      <c r="B11" t="s">
        <v>8</v>
      </c>
      <c r="C11" s="1">
        <v>25290</v>
      </c>
      <c r="D11" s="1" t="s">
        <v>32</v>
      </c>
      <c r="E11">
        <v>43.81803</v>
      </c>
      <c r="F11">
        <v>11.211550000000001</v>
      </c>
      <c r="G11" s="1">
        <v>25239</v>
      </c>
      <c r="H11" s="1" t="s">
        <v>31</v>
      </c>
      <c r="I11">
        <v>43.77281</v>
      </c>
      <c r="J11">
        <v>11.29452</v>
      </c>
      <c r="K11">
        <v>14</v>
      </c>
      <c r="L11">
        <v>539.67435771907071</v>
      </c>
      <c r="M11">
        <v>3645.7671817907999</v>
      </c>
      <c r="N11">
        <v>1</v>
      </c>
      <c r="O11">
        <v>516.29999999999995</v>
      </c>
    </row>
    <row r="12" spans="1:15" x14ac:dyDescent="0.25">
      <c r="A12">
        <v>10</v>
      </c>
      <c r="B12" t="s">
        <v>8</v>
      </c>
      <c r="C12" s="1">
        <v>25290</v>
      </c>
      <c r="D12" s="1" t="s">
        <v>32</v>
      </c>
      <c r="E12">
        <v>43.81803</v>
      </c>
      <c r="F12">
        <v>11.211550000000001</v>
      </c>
      <c r="G12" s="1">
        <v>25398</v>
      </c>
      <c r="H12" s="1" t="s">
        <v>31</v>
      </c>
      <c r="I12">
        <v>43.769460000000002</v>
      </c>
      <c r="J12">
        <v>11.19172</v>
      </c>
      <c r="K12">
        <v>9.0000006097070475</v>
      </c>
      <c r="L12">
        <v>501.48176681400082</v>
      </c>
      <c r="M12">
        <v>8995.3228932051661</v>
      </c>
      <c r="N12">
        <v>3</v>
      </c>
      <c r="O12">
        <v>907.6</v>
      </c>
    </row>
    <row r="13" spans="1:15" x14ac:dyDescent="0.25">
      <c r="A13">
        <v>10</v>
      </c>
      <c r="B13" t="s">
        <v>8</v>
      </c>
      <c r="C13" s="1">
        <v>25290</v>
      </c>
      <c r="D13" s="1" t="s">
        <v>32</v>
      </c>
      <c r="E13">
        <v>43.81803</v>
      </c>
      <c r="F13">
        <v>11.211550000000001</v>
      </c>
      <c r="G13" s="1">
        <v>25400</v>
      </c>
      <c r="H13" s="1" t="s">
        <v>31</v>
      </c>
      <c r="I13">
        <v>43.798690000000001</v>
      </c>
      <c r="J13">
        <v>11.20762</v>
      </c>
      <c r="K13">
        <v>11.99999959398958</v>
      </c>
      <c r="L13">
        <v>900.04548217045408</v>
      </c>
      <c r="M13">
        <v>4374.9206181489599</v>
      </c>
      <c r="N13">
        <v>3</v>
      </c>
      <c r="O13">
        <v>879.3</v>
      </c>
    </row>
    <row r="14" spans="1:15" x14ac:dyDescent="0.25">
      <c r="A14">
        <v>10</v>
      </c>
      <c r="B14" t="s">
        <v>8</v>
      </c>
      <c r="C14" s="1">
        <v>25290</v>
      </c>
      <c r="D14" s="1" t="s">
        <v>32</v>
      </c>
      <c r="E14">
        <v>43.81803</v>
      </c>
      <c r="F14">
        <v>11.211550000000001</v>
      </c>
      <c r="G14" s="1">
        <v>25401</v>
      </c>
      <c r="H14" s="1" t="s">
        <v>36</v>
      </c>
      <c r="I14">
        <v>43.87838</v>
      </c>
      <c r="J14">
        <v>11.103210000000001</v>
      </c>
      <c r="K14">
        <v>2</v>
      </c>
      <c r="L14">
        <v>36.01937385896963</v>
      </c>
      <c r="M14">
        <v>3135.359776340088</v>
      </c>
      <c r="N14">
        <v>1</v>
      </c>
      <c r="O14">
        <v>24.4</v>
      </c>
    </row>
    <row r="15" spans="1:15" x14ac:dyDescent="0.25">
      <c r="A15">
        <v>10</v>
      </c>
      <c r="B15" t="s">
        <v>8</v>
      </c>
      <c r="C15" s="1">
        <v>25290</v>
      </c>
      <c r="D15" s="1" t="s">
        <v>32</v>
      </c>
      <c r="E15">
        <v>43.81803</v>
      </c>
      <c r="F15">
        <v>11.211550000000001</v>
      </c>
      <c r="G15" s="1">
        <v>25417</v>
      </c>
      <c r="H15" s="1" t="s">
        <v>37</v>
      </c>
      <c r="I15">
        <v>43.754040000000003</v>
      </c>
      <c r="J15">
        <v>11.32128</v>
      </c>
      <c r="K15">
        <v>4.9999999992570441</v>
      </c>
      <c r="L15">
        <v>76.572119773344255</v>
      </c>
      <c r="M15">
        <v>7097.093447219424</v>
      </c>
      <c r="N15">
        <v>1</v>
      </c>
      <c r="O15">
        <v>64.900000000000006</v>
      </c>
    </row>
    <row r="16" spans="1:15" x14ac:dyDescent="0.25">
      <c r="A16">
        <v>10</v>
      </c>
      <c r="B16" t="s">
        <v>8</v>
      </c>
      <c r="C16" s="1">
        <v>25398</v>
      </c>
      <c r="D16" s="1" t="s">
        <v>31</v>
      </c>
      <c r="E16">
        <v>43.769460000000002</v>
      </c>
      <c r="F16">
        <v>11.19172</v>
      </c>
      <c r="G16" s="1">
        <v>25239</v>
      </c>
      <c r="H16" s="1" t="s">
        <v>31</v>
      </c>
      <c r="I16">
        <v>43.77281</v>
      </c>
      <c r="J16">
        <v>11.29452</v>
      </c>
      <c r="K16">
        <v>4.0000000000082601</v>
      </c>
      <c r="L16">
        <v>134</v>
      </c>
      <c r="M16">
        <v>2916.6137454326399</v>
      </c>
      <c r="N16">
        <v>1</v>
      </c>
      <c r="O16">
        <v>134</v>
      </c>
    </row>
    <row r="17" spans="1:15" x14ac:dyDescent="0.25">
      <c r="A17">
        <v>10</v>
      </c>
      <c r="B17" t="s">
        <v>8</v>
      </c>
      <c r="C17" s="1">
        <v>25398</v>
      </c>
      <c r="D17" s="1" t="s">
        <v>31</v>
      </c>
      <c r="E17">
        <v>43.769460000000002</v>
      </c>
      <c r="F17">
        <v>11.19172</v>
      </c>
      <c r="G17" s="1">
        <v>25290</v>
      </c>
      <c r="H17" s="1" t="s">
        <v>32</v>
      </c>
      <c r="I17">
        <v>43.81803</v>
      </c>
      <c r="J17">
        <v>11.211550000000001</v>
      </c>
      <c r="K17">
        <v>11.00000020370439</v>
      </c>
      <c r="L17">
        <v>38</v>
      </c>
      <c r="M17">
        <v>4377.3511296034876</v>
      </c>
      <c r="N17">
        <v>1</v>
      </c>
      <c r="O17">
        <v>38</v>
      </c>
    </row>
    <row r="18" spans="1:15" x14ac:dyDescent="0.25">
      <c r="A18">
        <v>10</v>
      </c>
      <c r="B18" t="s">
        <v>8</v>
      </c>
      <c r="C18" s="1">
        <v>25400</v>
      </c>
      <c r="D18" s="1" t="s">
        <v>31</v>
      </c>
      <c r="E18">
        <v>43.798690000000001</v>
      </c>
      <c r="F18">
        <v>11.20762</v>
      </c>
      <c r="G18" s="1">
        <v>25290</v>
      </c>
      <c r="H18" s="1" t="s">
        <v>32</v>
      </c>
      <c r="I18">
        <v>43.81803</v>
      </c>
      <c r="J18">
        <v>11.211550000000001</v>
      </c>
      <c r="K18">
        <v>2</v>
      </c>
      <c r="L18">
        <v>159.91999999999999</v>
      </c>
      <c r="M18">
        <v>2673.5625999799199</v>
      </c>
      <c r="N18">
        <v>2</v>
      </c>
      <c r="O18">
        <v>159.91999999999999</v>
      </c>
    </row>
    <row r="19" spans="1:15" x14ac:dyDescent="0.25">
      <c r="A19">
        <v>10</v>
      </c>
      <c r="B19" t="s">
        <v>8</v>
      </c>
      <c r="C19" s="1">
        <v>25400</v>
      </c>
      <c r="D19" s="1" t="s">
        <v>31</v>
      </c>
      <c r="E19">
        <v>43.798690000000001</v>
      </c>
      <c r="F19">
        <v>11.20762</v>
      </c>
      <c r="G19" s="1">
        <v>25398</v>
      </c>
      <c r="H19" s="1" t="s">
        <v>31</v>
      </c>
      <c r="I19">
        <v>43.769460000000002</v>
      </c>
      <c r="J19">
        <v>11.19172</v>
      </c>
      <c r="K19">
        <v>12.999999594037661</v>
      </c>
      <c r="L19">
        <v>961.4</v>
      </c>
      <c r="M19">
        <v>2989.529089068456</v>
      </c>
      <c r="N19">
        <v>2</v>
      </c>
      <c r="O19">
        <v>961.4</v>
      </c>
    </row>
    <row r="20" spans="1:15" x14ac:dyDescent="0.25">
      <c r="A20">
        <v>10</v>
      </c>
      <c r="B20" t="s">
        <v>8</v>
      </c>
      <c r="C20" s="1">
        <v>25401</v>
      </c>
      <c r="D20" s="1" t="s">
        <v>36</v>
      </c>
      <c r="E20">
        <v>43.87838</v>
      </c>
      <c r="F20">
        <v>11.103210000000001</v>
      </c>
      <c r="G20" s="1">
        <v>25290</v>
      </c>
      <c r="H20" s="1" t="s">
        <v>32</v>
      </c>
      <c r="I20">
        <v>43.81803</v>
      </c>
      <c r="J20">
        <v>11.211550000000001</v>
      </c>
      <c r="K20">
        <v>4</v>
      </c>
      <c r="L20">
        <v>58.8</v>
      </c>
      <c r="M20">
        <v>3767.2927545171601</v>
      </c>
      <c r="N20">
        <v>1</v>
      </c>
      <c r="O20">
        <v>58.8</v>
      </c>
    </row>
    <row r="21" spans="1:15" x14ac:dyDescent="0.25">
      <c r="A21">
        <v>10</v>
      </c>
      <c r="B21" t="s">
        <v>8</v>
      </c>
      <c r="C21" s="1">
        <v>25421</v>
      </c>
      <c r="D21" s="1" t="s">
        <v>41</v>
      </c>
      <c r="E21">
        <v>43.619419999999998</v>
      </c>
      <c r="F21">
        <v>11.47508</v>
      </c>
      <c r="G21" s="1">
        <v>4144</v>
      </c>
      <c r="H21" s="1" t="s">
        <v>38</v>
      </c>
      <c r="I21">
        <v>43.568049999999999</v>
      </c>
      <c r="J21">
        <v>11.529260000000001</v>
      </c>
      <c r="K21">
        <v>5</v>
      </c>
      <c r="L21">
        <v>194.4</v>
      </c>
      <c r="M21">
        <v>2187.4603090744799</v>
      </c>
      <c r="N21">
        <v>1</v>
      </c>
      <c r="O21">
        <v>194.4</v>
      </c>
    </row>
    <row r="22" spans="1:15" x14ac:dyDescent="0.25">
      <c r="A22">
        <v>10</v>
      </c>
      <c r="B22" t="s">
        <v>8</v>
      </c>
      <c r="C22" s="1">
        <v>33214</v>
      </c>
      <c r="D22" s="1" t="s">
        <v>51</v>
      </c>
      <c r="E22">
        <v>43.868270000000003</v>
      </c>
      <c r="F22">
        <v>10.252879999999999</v>
      </c>
      <c r="G22" s="1">
        <v>33220</v>
      </c>
      <c r="H22" s="1" t="s">
        <v>39</v>
      </c>
      <c r="I22">
        <v>43.894159999999999</v>
      </c>
      <c r="J22">
        <v>10.22714</v>
      </c>
      <c r="K22">
        <v>3</v>
      </c>
      <c r="L22">
        <v>210.6999999999999</v>
      </c>
      <c r="M22">
        <v>4642.2768781469513</v>
      </c>
      <c r="N22">
        <v>4</v>
      </c>
      <c r="O22">
        <v>210.7</v>
      </c>
    </row>
    <row r="23" spans="1:15" x14ac:dyDescent="0.25">
      <c r="A23">
        <v>10</v>
      </c>
      <c r="B23" t="s">
        <v>8</v>
      </c>
      <c r="C23" s="1">
        <v>33220</v>
      </c>
      <c r="D23" s="1" t="s">
        <v>39</v>
      </c>
      <c r="E23">
        <v>43.894159999999999</v>
      </c>
      <c r="F23">
        <v>10.22714</v>
      </c>
      <c r="G23" s="1">
        <v>33221</v>
      </c>
      <c r="H23" s="1" t="s">
        <v>40</v>
      </c>
      <c r="I23">
        <v>43.956339999999997</v>
      </c>
      <c r="J23">
        <v>10.22996</v>
      </c>
      <c r="K23">
        <v>5</v>
      </c>
      <c r="L23">
        <v>168.3</v>
      </c>
      <c r="M23">
        <v>10164.398902832751</v>
      </c>
      <c r="N23">
        <v>4</v>
      </c>
      <c r="O23">
        <v>168.3</v>
      </c>
    </row>
    <row r="24" spans="1:15" x14ac:dyDescent="0.25">
      <c r="A24">
        <v>10</v>
      </c>
      <c r="B24" t="s">
        <v>8</v>
      </c>
      <c r="C24" s="1">
        <v>4144</v>
      </c>
      <c r="D24" s="1" t="s">
        <v>38</v>
      </c>
      <c r="E24">
        <v>43.568049999999999</v>
      </c>
      <c r="F24">
        <v>11.529260000000001</v>
      </c>
      <c r="G24" s="1">
        <v>25421</v>
      </c>
      <c r="H24" s="1" t="s">
        <v>41</v>
      </c>
      <c r="I24">
        <v>43.619419999999998</v>
      </c>
      <c r="J24">
        <v>11.47508</v>
      </c>
      <c r="K24">
        <v>2</v>
      </c>
      <c r="L24">
        <v>82.6</v>
      </c>
      <c r="M24">
        <v>6691.1980343133819</v>
      </c>
      <c r="N24">
        <v>1</v>
      </c>
      <c r="O24">
        <v>82.6</v>
      </c>
    </row>
    <row r="25" spans="1:15" x14ac:dyDescent="0.25">
      <c r="A25">
        <v>10</v>
      </c>
      <c r="B25" t="s">
        <v>8</v>
      </c>
      <c r="C25" s="1">
        <v>4144</v>
      </c>
      <c r="D25" s="1" t="s">
        <v>38</v>
      </c>
      <c r="E25">
        <v>43.568049999999999</v>
      </c>
      <c r="F25">
        <v>11.529260000000001</v>
      </c>
      <c r="G25" s="1">
        <v>4142</v>
      </c>
      <c r="H25" s="1" t="s">
        <v>42</v>
      </c>
      <c r="I25">
        <v>43.529310000000002</v>
      </c>
      <c r="J25">
        <v>11.56737</v>
      </c>
      <c r="K25">
        <v>4</v>
      </c>
      <c r="L25">
        <v>244.6</v>
      </c>
      <c r="M25">
        <v>1458.30687271632</v>
      </c>
      <c r="N25">
        <v>1</v>
      </c>
      <c r="O25">
        <v>244.6</v>
      </c>
    </row>
    <row r="26" spans="1:15" x14ac:dyDescent="0.25">
      <c r="A26">
        <v>10</v>
      </c>
      <c r="B26" t="s">
        <v>8</v>
      </c>
      <c r="C26" s="1">
        <v>46445</v>
      </c>
      <c r="D26" s="1" t="s">
        <v>35</v>
      </c>
      <c r="E26">
        <v>43.10801</v>
      </c>
      <c r="F26">
        <v>12.377940000000001</v>
      </c>
      <c r="G26" s="1">
        <v>46468</v>
      </c>
      <c r="H26" s="1" t="s">
        <v>33</v>
      </c>
      <c r="I26">
        <v>43.116489999999999</v>
      </c>
      <c r="J26">
        <v>12.45126</v>
      </c>
      <c r="K26">
        <v>7</v>
      </c>
      <c r="L26">
        <v>369.39999999969172</v>
      </c>
      <c r="M26">
        <v>9381.7742144749918</v>
      </c>
      <c r="N26">
        <v>3</v>
      </c>
      <c r="O26">
        <v>369.4</v>
      </c>
    </row>
    <row r="27" spans="1:15" x14ac:dyDescent="0.25">
      <c r="A27">
        <v>10</v>
      </c>
      <c r="B27" t="s">
        <v>8</v>
      </c>
      <c r="C27" s="1">
        <v>46445</v>
      </c>
      <c r="D27" s="1" t="s">
        <v>35</v>
      </c>
      <c r="E27">
        <v>43.10801</v>
      </c>
      <c r="F27">
        <v>12.377940000000001</v>
      </c>
      <c r="G27" s="1">
        <v>46471</v>
      </c>
      <c r="H27" s="1" t="s">
        <v>34</v>
      </c>
      <c r="I27">
        <v>43.10031</v>
      </c>
      <c r="J27">
        <v>12.318519999999999</v>
      </c>
      <c r="K27">
        <v>6</v>
      </c>
      <c r="L27">
        <v>376.99999999985891</v>
      </c>
      <c r="M27">
        <v>5420.0405435956563</v>
      </c>
      <c r="N27">
        <v>3</v>
      </c>
      <c r="O27">
        <v>377</v>
      </c>
    </row>
    <row r="28" spans="1:15" x14ac:dyDescent="0.25">
      <c r="A28">
        <v>10</v>
      </c>
      <c r="B28" t="s">
        <v>8</v>
      </c>
      <c r="C28" s="1">
        <v>46471</v>
      </c>
      <c r="D28" s="1" t="s">
        <v>34</v>
      </c>
      <c r="E28">
        <v>43.10031</v>
      </c>
      <c r="F28">
        <v>12.318519999999999</v>
      </c>
      <c r="G28" s="1">
        <v>46445</v>
      </c>
      <c r="H28" s="1" t="s">
        <v>35</v>
      </c>
      <c r="I28">
        <v>43.10801</v>
      </c>
      <c r="J28">
        <v>12.377940000000001</v>
      </c>
      <c r="K28">
        <v>6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>
        <v>10</v>
      </c>
      <c r="B29" t="s">
        <v>9</v>
      </c>
      <c r="C29" s="1">
        <v>25290</v>
      </c>
      <c r="D29" s="1" t="s">
        <v>32</v>
      </c>
      <c r="E29">
        <v>43.81803</v>
      </c>
      <c r="F29">
        <v>11.211550000000001</v>
      </c>
      <c r="G29" s="1">
        <v>25398</v>
      </c>
      <c r="H29" s="1" t="s">
        <v>31</v>
      </c>
      <c r="I29">
        <v>43.769460000000002</v>
      </c>
      <c r="J29">
        <v>11.19172</v>
      </c>
      <c r="K29">
        <v>16</v>
      </c>
      <c r="L29">
        <v>919.49615293900752</v>
      </c>
      <c r="M29">
        <v>8995.3228932051661</v>
      </c>
      <c r="N29">
        <v>3</v>
      </c>
      <c r="O29">
        <v>907.6</v>
      </c>
    </row>
    <row r="30" spans="1:15" x14ac:dyDescent="0.25">
      <c r="A30">
        <v>10</v>
      </c>
      <c r="B30" t="s">
        <v>9</v>
      </c>
      <c r="C30" s="1">
        <v>25290</v>
      </c>
      <c r="D30" s="1" t="s">
        <v>32</v>
      </c>
      <c r="E30">
        <v>43.81803</v>
      </c>
      <c r="F30">
        <v>11.211550000000001</v>
      </c>
      <c r="G30" s="1">
        <v>25400</v>
      </c>
      <c r="H30" s="1" t="s">
        <v>31</v>
      </c>
      <c r="I30">
        <v>43.798690000000001</v>
      </c>
      <c r="J30">
        <v>11.20762</v>
      </c>
      <c r="K30">
        <v>11</v>
      </c>
      <c r="L30">
        <v>900.0455174153924</v>
      </c>
      <c r="M30">
        <v>4374.9206181489599</v>
      </c>
      <c r="N30">
        <v>3</v>
      </c>
      <c r="O30">
        <v>879.3</v>
      </c>
    </row>
    <row r="31" spans="1:15" x14ac:dyDescent="0.25">
      <c r="A31">
        <v>10</v>
      </c>
      <c r="B31" t="s">
        <v>9</v>
      </c>
      <c r="C31" s="1">
        <v>25290</v>
      </c>
      <c r="D31" s="1" t="s">
        <v>32</v>
      </c>
      <c r="E31">
        <v>43.81803</v>
      </c>
      <c r="F31">
        <v>11.211550000000001</v>
      </c>
      <c r="G31" s="1">
        <v>25401</v>
      </c>
      <c r="H31" s="1" t="s">
        <v>36</v>
      </c>
      <c r="I31">
        <v>43.87838</v>
      </c>
      <c r="J31">
        <v>11.103210000000001</v>
      </c>
      <c r="K31">
        <v>3</v>
      </c>
      <c r="L31">
        <v>54.029060788454437</v>
      </c>
      <c r="M31">
        <v>3135.359776340088</v>
      </c>
      <c r="N31">
        <v>1</v>
      </c>
      <c r="O31">
        <v>24.4</v>
      </c>
    </row>
    <row r="32" spans="1:15" x14ac:dyDescent="0.25">
      <c r="A32">
        <v>10</v>
      </c>
      <c r="B32" t="s">
        <v>9</v>
      </c>
      <c r="C32" s="1">
        <v>25290</v>
      </c>
      <c r="D32" s="1" t="s">
        <v>32</v>
      </c>
      <c r="E32">
        <v>43.81803</v>
      </c>
      <c r="F32">
        <v>11.211550000000001</v>
      </c>
      <c r="G32" s="1">
        <v>25417</v>
      </c>
      <c r="H32" s="1" t="s">
        <v>37</v>
      </c>
      <c r="I32">
        <v>43.754040000000003</v>
      </c>
      <c r="J32">
        <v>11.32128</v>
      </c>
      <c r="K32">
        <v>5</v>
      </c>
      <c r="L32">
        <v>76.572122886921079</v>
      </c>
      <c r="M32">
        <v>7097.093447219424</v>
      </c>
      <c r="N32">
        <v>1</v>
      </c>
      <c r="O32">
        <v>64.900000000000006</v>
      </c>
    </row>
    <row r="33" spans="1:15" x14ac:dyDescent="0.25">
      <c r="A33">
        <v>10</v>
      </c>
      <c r="B33" t="s">
        <v>9</v>
      </c>
      <c r="C33" s="1">
        <v>25398</v>
      </c>
      <c r="D33" s="1" t="s">
        <v>31</v>
      </c>
      <c r="E33">
        <v>43.769460000000002</v>
      </c>
      <c r="F33">
        <v>11.19172</v>
      </c>
      <c r="G33" s="1">
        <v>25239</v>
      </c>
      <c r="H33" s="1" t="s">
        <v>31</v>
      </c>
      <c r="I33">
        <v>43.77281</v>
      </c>
      <c r="J33">
        <v>11.29452</v>
      </c>
      <c r="K33">
        <v>4</v>
      </c>
      <c r="L33">
        <v>134</v>
      </c>
      <c r="M33">
        <v>2916.6137454326399</v>
      </c>
      <c r="N33">
        <v>1</v>
      </c>
      <c r="O33">
        <v>134</v>
      </c>
    </row>
    <row r="34" spans="1:15" x14ac:dyDescent="0.25">
      <c r="A34">
        <v>10</v>
      </c>
      <c r="B34" t="s">
        <v>9</v>
      </c>
      <c r="C34" s="1">
        <v>25398</v>
      </c>
      <c r="D34" s="1" t="s">
        <v>31</v>
      </c>
      <c r="E34">
        <v>43.769460000000002</v>
      </c>
      <c r="F34">
        <v>11.19172</v>
      </c>
      <c r="G34" s="1">
        <v>25290</v>
      </c>
      <c r="H34" s="1" t="s">
        <v>32</v>
      </c>
      <c r="I34">
        <v>43.81803</v>
      </c>
      <c r="J34">
        <v>11.211550000000001</v>
      </c>
      <c r="K34">
        <v>17</v>
      </c>
      <c r="L34">
        <v>38</v>
      </c>
      <c r="M34">
        <v>4377.3511296034876</v>
      </c>
      <c r="N34">
        <v>1</v>
      </c>
      <c r="O34">
        <v>38</v>
      </c>
    </row>
    <row r="35" spans="1:15" x14ac:dyDescent="0.25">
      <c r="A35">
        <v>10</v>
      </c>
      <c r="B35" t="s">
        <v>9</v>
      </c>
      <c r="C35" s="1">
        <v>25400</v>
      </c>
      <c r="D35" s="1" t="s">
        <v>31</v>
      </c>
      <c r="E35">
        <v>43.798690000000001</v>
      </c>
      <c r="F35">
        <v>11.20762</v>
      </c>
      <c r="G35" s="1">
        <v>25290</v>
      </c>
      <c r="H35" s="1" t="s">
        <v>32</v>
      </c>
      <c r="I35">
        <v>43.81803</v>
      </c>
      <c r="J35">
        <v>11.211550000000001</v>
      </c>
      <c r="K35">
        <v>2</v>
      </c>
      <c r="L35">
        <v>159.91999999999999</v>
      </c>
      <c r="M35">
        <v>2673.5625999799199</v>
      </c>
      <c r="N35">
        <v>2</v>
      </c>
      <c r="O35">
        <v>159.91999999999999</v>
      </c>
    </row>
    <row r="36" spans="1:15" x14ac:dyDescent="0.25">
      <c r="A36">
        <v>10</v>
      </c>
      <c r="B36" t="s">
        <v>9</v>
      </c>
      <c r="C36" s="1">
        <v>25400</v>
      </c>
      <c r="D36" s="1" t="s">
        <v>31</v>
      </c>
      <c r="E36">
        <v>43.798690000000001</v>
      </c>
      <c r="F36">
        <v>11.20762</v>
      </c>
      <c r="G36" s="1">
        <v>25398</v>
      </c>
      <c r="H36" s="1" t="s">
        <v>31</v>
      </c>
      <c r="I36">
        <v>43.769460000000002</v>
      </c>
      <c r="J36">
        <v>11.19172</v>
      </c>
      <c r="K36">
        <v>9</v>
      </c>
      <c r="L36">
        <v>687.55915415186701</v>
      </c>
      <c r="M36">
        <v>1458.30687271632</v>
      </c>
      <c r="N36">
        <v>1</v>
      </c>
      <c r="O36">
        <v>186</v>
      </c>
    </row>
    <row r="37" spans="1:15" x14ac:dyDescent="0.25">
      <c r="A37">
        <v>10</v>
      </c>
      <c r="B37" t="s">
        <v>9</v>
      </c>
      <c r="C37" s="1">
        <v>25401</v>
      </c>
      <c r="D37" s="1" t="s">
        <v>36</v>
      </c>
      <c r="E37">
        <v>43.87838</v>
      </c>
      <c r="F37">
        <v>11.103210000000001</v>
      </c>
      <c r="G37" s="1">
        <v>25290</v>
      </c>
      <c r="H37" s="1" t="s">
        <v>32</v>
      </c>
      <c r="I37">
        <v>43.81803</v>
      </c>
      <c r="J37">
        <v>11.211550000000001</v>
      </c>
      <c r="K37">
        <v>5</v>
      </c>
      <c r="L37">
        <v>58.8</v>
      </c>
      <c r="M37">
        <v>3767.2927545171601</v>
      </c>
      <c r="N37">
        <v>1</v>
      </c>
      <c r="O37">
        <v>58.8</v>
      </c>
    </row>
    <row r="38" spans="1:15" x14ac:dyDescent="0.25">
      <c r="A38">
        <v>10</v>
      </c>
      <c r="B38" t="s">
        <v>9</v>
      </c>
      <c r="C38" s="1">
        <v>25421</v>
      </c>
      <c r="D38" s="1" t="s">
        <v>41</v>
      </c>
      <c r="E38">
        <v>43.619419999999998</v>
      </c>
      <c r="F38">
        <v>11.47508</v>
      </c>
      <c r="G38" s="1">
        <v>4144</v>
      </c>
      <c r="H38" s="1" t="s">
        <v>38</v>
      </c>
      <c r="I38">
        <v>43.568049999999999</v>
      </c>
      <c r="J38">
        <v>11.529260000000001</v>
      </c>
      <c r="K38">
        <v>5</v>
      </c>
      <c r="L38">
        <v>194.4</v>
      </c>
      <c r="M38">
        <v>2187.4603090744799</v>
      </c>
      <c r="N38">
        <v>1</v>
      </c>
      <c r="O38">
        <v>194.4</v>
      </c>
    </row>
    <row r="39" spans="1:15" x14ac:dyDescent="0.25">
      <c r="A39">
        <v>10</v>
      </c>
      <c r="B39" t="s">
        <v>9</v>
      </c>
      <c r="C39" s="1">
        <v>33214</v>
      </c>
      <c r="D39" s="1" t="s">
        <v>51</v>
      </c>
      <c r="E39">
        <v>43.868270000000003</v>
      </c>
      <c r="F39">
        <v>10.252879999999999</v>
      </c>
      <c r="G39" s="1">
        <v>33220</v>
      </c>
      <c r="H39" s="1" t="s">
        <v>39</v>
      </c>
      <c r="I39">
        <v>43.894159999999999</v>
      </c>
      <c r="J39">
        <v>10.22714</v>
      </c>
      <c r="K39">
        <v>3</v>
      </c>
      <c r="L39">
        <v>210.7</v>
      </c>
      <c r="M39">
        <v>4642.2768781469513</v>
      </c>
      <c r="N39">
        <v>4</v>
      </c>
      <c r="O39">
        <v>210.7</v>
      </c>
    </row>
    <row r="40" spans="1:15" x14ac:dyDescent="0.25">
      <c r="A40">
        <v>10</v>
      </c>
      <c r="B40" t="s">
        <v>9</v>
      </c>
      <c r="C40" s="1">
        <v>33220</v>
      </c>
      <c r="D40" s="1" t="s">
        <v>39</v>
      </c>
      <c r="E40">
        <v>43.894159999999999</v>
      </c>
      <c r="F40">
        <v>10.22714</v>
      </c>
      <c r="G40" s="1">
        <v>33221</v>
      </c>
      <c r="H40" s="1" t="s">
        <v>40</v>
      </c>
      <c r="I40">
        <v>43.956339999999997</v>
      </c>
      <c r="J40">
        <v>10.22996</v>
      </c>
      <c r="K40">
        <v>5</v>
      </c>
      <c r="L40">
        <v>168.3</v>
      </c>
      <c r="M40">
        <v>10164.398902832751</v>
      </c>
      <c r="N40">
        <v>4</v>
      </c>
      <c r="O40">
        <v>168.3</v>
      </c>
    </row>
    <row r="41" spans="1:15" x14ac:dyDescent="0.25">
      <c r="A41">
        <v>10</v>
      </c>
      <c r="B41" t="s">
        <v>9</v>
      </c>
      <c r="C41" s="1">
        <v>4144</v>
      </c>
      <c r="D41" s="1" t="s">
        <v>38</v>
      </c>
      <c r="E41">
        <v>43.568049999999999</v>
      </c>
      <c r="F41">
        <v>11.529260000000001</v>
      </c>
      <c r="G41" s="1">
        <v>25421</v>
      </c>
      <c r="H41" s="1" t="s">
        <v>41</v>
      </c>
      <c r="I41">
        <v>43.619419999999998</v>
      </c>
      <c r="J41">
        <v>11.47508</v>
      </c>
      <c r="K41">
        <v>2</v>
      </c>
      <c r="L41">
        <v>82.6</v>
      </c>
      <c r="M41">
        <v>6691.1980343133819</v>
      </c>
      <c r="N41">
        <v>1</v>
      </c>
      <c r="O41">
        <v>82.6</v>
      </c>
    </row>
    <row r="42" spans="1:15" x14ac:dyDescent="0.25">
      <c r="A42">
        <v>10</v>
      </c>
      <c r="B42" t="s">
        <v>9</v>
      </c>
      <c r="C42" s="1">
        <v>4144</v>
      </c>
      <c r="D42" s="1" t="s">
        <v>38</v>
      </c>
      <c r="E42">
        <v>43.568049999999999</v>
      </c>
      <c r="F42">
        <v>11.529260000000001</v>
      </c>
      <c r="G42" s="1">
        <v>4142</v>
      </c>
      <c r="H42" s="1" t="s">
        <v>42</v>
      </c>
      <c r="I42">
        <v>43.529310000000002</v>
      </c>
      <c r="J42">
        <v>11.56737</v>
      </c>
      <c r="K42">
        <v>4</v>
      </c>
      <c r="L42">
        <v>244.6</v>
      </c>
      <c r="M42">
        <v>1458.30687271632</v>
      </c>
      <c r="N42">
        <v>1</v>
      </c>
      <c r="O42">
        <v>244.6</v>
      </c>
    </row>
    <row r="43" spans="1:15" x14ac:dyDescent="0.25">
      <c r="A43">
        <v>10</v>
      </c>
      <c r="B43" t="s">
        <v>9</v>
      </c>
      <c r="C43" s="1">
        <v>46445</v>
      </c>
      <c r="D43" s="1" t="s">
        <v>35</v>
      </c>
      <c r="E43">
        <v>43.10801</v>
      </c>
      <c r="F43">
        <v>12.377940000000001</v>
      </c>
      <c r="G43" s="1">
        <v>46468</v>
      </c>
      <c r="H43" s="1" t="s">
        <v>33</v>
      </c>
      <c r="I43">
        <v>43.116489999999999</v>
      </c>
      <c r="J43">
        <v>12.45126</v>
      </c>
      <c r="K43">
        <v>7</v>
      </c>
      <c r="L43">
        <v>369.4</v>
      </c>
      <c r="M43">
        <v>9381.7742144749918</v>
      </c>
      <c r="N43">
        <v>3</v>
      </c>
      <c r="O43">
        <v>369.4</v>
      </c>
    </row>
    <row r="44" spans="1:15" x14ac:dyDescent="0.25">
      <c r="A44">
        <v>10</v>
      </c>
      <c r="B44" t="s">
        <v>9</v>
      </c>
      <c r="C44" s="1">
        <v>46445</v>
      </c>
      <c r="D44" s="1" t="s">
        <v>35</v>
      </c>
      <c r="E44">
        <v>43.10801</v>
      </c>
      <c r="F44">
        <v>12.377940000000001</v>
      </c>
      <c r="G44" s="1">
        <v>46471</v>
      </c>
      <c r="H44" s="1" t="s">
        <v>34</v>
      </c>
      <c r="I44">
        <v>43.10031</v>
      </c>
      <c r="J44">
        <v>12.318519999999999</v>
      </c>
      <c r="K44">
        <v>6</v>
      </c>
      <c r="L44">
        <v>377</v>
      </c>
      <c r="M44">
        <v>5420.0405435956563</v>
      </c>
      <c r="N44">
        <v>3</v>
      </c>
      <c r="O44">
        <v>377</v>
      </c>
    </row>
    <row r="45" spans="1:15" x14ac:dyDescent="0.25">
      <c r="A45">
        <v>10</v>
      </c>
      <c r="B45" t="s">
        <v>9</v>
      </c>
      <c r="C45" s="1">
        <v>46471</v>
      </c>
      <c r="D45" s="1" t="s">
        <v>34</v>
      </c>
      <c r="E45">
        <v>43.10031</v>
      </c>
      <c r="F45">
        <v>12.318519999999999</v>
      </c>
      <c r="G45" s="1">
        <v>46445</v>
      </c>
      <c r="H45" s="1" t="s">
        <v>35</v>
      </c>
      <c r="I45">
        <v>43.10801</v>
      </c>
      <c r="J45">
        <v>12.377940000000001</v>
      </c>
      <c r="K45">
        <v>8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>
        <v>10</v>
      </c>
      <c r="B46" t="s">
        <v>9</v>
      </c>
      <c r="C46" s="1">
        <v>77343</v>
      </c>
      <c r="D46" s="1" t="s">
        <v>43</v>
      </c>
      <c r="E46">
        <v>42.812559999999998</v>
      </c>
      <c r="F46">
        <v>10.31758</v>
      </c>
      <c r="G46" s="1">
        <v>32095</v>
      </c>
      <c r="H46" s="1" t="s">
        <v>43</v>
      </c>
      <c r="I46">
        <v>42.810519999999997</v>
      </c>
      <c r="J46">
        <v>10.30799</v>
      </c>
      <c r="K46">
        <v>3</v>
      </c>
      <c r="L46">
        <v>273.7</v>
      </c>
      <c r="M46">
        <v>291.661374543264</v>
      </c>
      <c r="N46">
        <v>1</v>
      </c>
      <c r="O46">
        <v>273.7</v>
      </c>
    </row>
    <row r="47" spans="1:15" x14ac:dyDescent="0.25">
      <c r="A47">
        <v>30</v>
      </c>
      <c r="B47" t="s">
        <v>7</v>
      </c>
      <c r="C47" s="1">
        <v>25290</v>
      </c>
      <c r="D47" s="1" t="s">
        <v>32</v>
      </c>
      <c r="E47">
        <v>43.81803</v>
      </c>
      <c r="F47">
        <v>11.211550000000001</v>
      </c>
      <c r="G47" s="1">
        <v>25239</v>
      </c>
      <c r="H47" s="1" t="s">
        <v>31</v>
      </c>
      <c r="I47">
        <v>43.77281</v>
      </c>
      <c r="J47">
        <v>11.29452</v>
      </c>
      <c r="K47">
        <v>46.000001438001838</v>
      </c>
      <c r="L47">
        <v>1773.2158022385811</v>
      </c>
      <c r="M47">
        <v>7291.5343635815998</v>
      </c>
      <c r="N47">
        <v>2</v>
      </c>
      <c r="O47">
        <v>1678.7</v>
      </c>
    </row>
    <row r="48" spans="1:15" x14ac:dyDescent="0.25">
      <c r="A48">
        <v>30</v>
      </c>
      <c r="B48" t="s">
        <v>7</v>
      </c>
      <c r="C48" s="1">
        <v>25290</v>
      </c>
      <c r="D48" s="1" t="s">
        <v>32</v>
      </c>
      <c r="E48">
        <v>43.81803</v>
      </c>
      <c r="F48">
        <v>11.211550000000001</v>
      </c>
      <c r="G48" s="1">
        <v>25398</v>
      </c>
      <c r="H48" s="1" t="s">
        <v>31</v>
      </c>
      <c r="I48">
        <v>43.769460000000002</v>
      </c>
      <c r="J48">
        <v>11.19172</v>
      </c>
      <c r="K48">
        <v>34.00000000027768</v>
      </c>
      <c r="L48">
        <v>1994.390382369101</v>
      </c>
      <c r="M48">
        <v>7780.0671659415684</v>
      </c>
      <c r="N48">
        <v>3</v>
      </c>
      <c r="O48">
        <v>1768.12</v>
      </c>
    </row>
    <row r="49" spans="1:15" x14ac:dyDescent="0.25">
      <c r="A49">
        <v>30</v>
      </c>
      <c r="B49" t="s">
        <v>7</v>
      </c>
      <c r="C49" s="1">
        <v>25290</v>
      </c>
      <c r="D49" s="1" t="s">
        <v>32</v>
      </c>
      <c r="E49">
        <v>43.81803</v>
      </c>
      <c r="F49">
        <v>11.211550000000001</v>
      </c>
      <c r="G49" s="1">
        <v>25400</v>
      </c>
      <c r="H49" s="1" t="s">
        <v>31</v>
      </c>
      <c r="I49">
        <v>43.798690000000001</v>
      </c>
      <c r="J49">
        <v>11.20762</v>
      </c>
      <c r="K49">
        <v>72.000000000384546</v>
      </c>
      <c r="L49">
        <v>6187.3993120833748</v>
      </c>
      <c r="M49">
        <v>8871.3668090242791</v>
      </c>
      <c r="N49">
        <v>6</v>
      </c>
      <c r="O49">
        <v>5900.96</v>
      </c>
    </row>
    <row r="50" spans="1:15" x14ac:dyDescent="0.25">
      <c r="A50">
        <v>30</v>
      </c>
      <c r="B50" t="s">
        <v>7</v>
      </c>
      <c r="C50" s="1">
        <v>25290</v>
      </c>
      <c r="D50" s="1" t="s">
        <v>32</v>
      </c>
      <c r="E50">
        <v>43.81803</v>
      </c>
      <c r="F50">
        <v>11.211550000000001</v>
      </c>
      <c r="G50" s="1">
        <v>25401</v>
      </c>
      <c r="H50" s="1" t="s">
        <v>36</v>
      </c>
      <c r="I50">
        <v>43.87838</v>
      </c>
      <c r="J50">
        <v>11.103210000000001</v>
      </c>
      <c r="K50">
        <v>7.000000205476784</v>
      </c>
      <c r="L50">
        <v>126.0678122119663</v>
      </c>
      <c r="M50">
        <v>3135.359776340088</v>
      </c>
      <c r="N50">
        <v>1</v>
      </c>
      <c r="O50">
        <v>24.4</v>
      </c>
    </row>
    <row r="51" spans="1:15" x14ac:dyDescent="0.25">
      <c r="A51">
        <v>30</v>
      </c>
      <c r="B51" t="s">
        <v>7</v>
      </c>
      <c r="C51" s="1">
        <v>25398</v>
      </c>
      <c r="D51" s="1" t="s">
        <v>31</v>
      </c>
      <c r="E51">
        <v>43.769460000000002</v>
      </c>
      <c r="F51">
        <v>11.19172</v>
      </c>
      <c r="G51" s="1">
        <v>25239</v>
      </c>
      <c r="H51" s="1" t="s">
        <v>31</v>
      </c>
      <c r="I51">
        <v>43.77281</v>
      </c>
      <c r="J51">
        <v>11.29452</v>
      </c>
      <c r="K51">
        <v>3</v>
      </c>
      <c r="L51">
        <v>117.5575277478771</v>
      </c>
      <c r="M51">
        <v>0</v>
      </c>
      <c r="N51">
        <v>0</v>
      </c>
      <c r="O51">
        <v>0</v>
      </c>
    </row>
    <row r="52" spans="1:15" x14ac:dyDescent="0.25">
      <c r="A52">
        <v>30</v>
      </c>
      <c r="B52" t="s">
        <v>7</v>
      </c>
      <c r="C52" s="1">
        <v>25398</v>
      </c>
      <c r="D52" s="1" t="s">
        <v>31</v>
      </c>
      <c r="E52">
        <v>43.769460000000002</v>
      </c>
      <c r="F52">
        <v>11.19172</v>
      </c>
      <c r="G52" s="1">
        <v>25290</v>
      </c>
      <c r="H52" s="1" t="s">
        <v>32</v>
      </c>
      <c r="I52">
        <v>43.81803</v>
      </c>
      <c r="J52">
        <v>11.211550000000001</v>
      </c>
      <c r="K52">
        <v>30.000000616454059</v>
      </c>
      <c r="L52">
        <v>38</v>
      </c>
      <c r="M52">
        <v>4377.3511296034876</v>
      </c>
      <c r="N52">
        <v>1</v>
      </c>
      <c r="O52">
        <v>38</v>
      </c>
    </row>
    <row r="53" spans="1:15" x14ac:dyDescent="0.25">
      <c r="A53">
        <v>30</v>
      </c>
      <c r="B53" t="s">
        <v>7</v>
      </c>
      <c r="C53" s="1">
        <v>25400</v>
      </c>
      <c r="D53" s="1" t="s">
        <v>31</v>
      </c>
      <c r="E53">
        <v>43.798690000000001</v>
      </c>
      <c r="F53">
        <v>11.20762</v>
      </c>
      <c r="G53" s="1">
        <v>25290</v>
      </c>
      <c r="H53" s="1" t="s">
        <v>32</v>
      </c>
      <c r="I53">
        <v>43.81803</v>
      </c>
      <c r="J53">
        <v>11.211550000000001</v>
      </c>
      <c r="K53">
        <v>59.000000000432621</v>
      </c>
      <c r="L53">
        <v>159.91999999999999</v>
      </c>
      <c r="M53">
        <v>2673.5625999799199</v>
      </c>
      <c r="N53">
        <v>2</v>
      </c>
      <c r="O53">
        <v>159.91999999999999</v>
      </c>
    </row>
    <row r="54" spans="1:15" x14ac:dyDescent="0.25">
      <c r="A54">
        <v>30</v>
      </c>
      <c r="B54" t="s">
        <v>7</v>
      </c>
      <c r="C54" s="1">
        <v>25400</v>
      </c>
      <c r="D54" s="1" t="s">
        <v>31</v>
      </c>
      <c r="E54">
        <v>43.798690000000001</v>
      </c>
      <c r="F54">
        <v>11.20762</v>
      </c>
      <c r="G54" s="1">
        <v>25398</v>
      </c>
      <c r="H54" s="1" t="s">
        <v>31</v>
      </c>
      <c r="I54">
        <v>43.769460000000002</v>
      </c>
      <c r="J54">
        <v>11.19172</v>
      </c>
      <c r="K54">
        <v>13</v>
      </c>
      <c r="L54">
        <v>961.4</v>
      </c>
      <c r="M54">
        <v>2989.529089068456</v>
      </c>
      <c r="N54">
        <v>2</v>
      </c>
      <c r="O54">
        <v>961.4</v>
      </c>
    </row>
    <row r="55" spans="1:15" x14ac:dyDescent="0.25">
      <c r="A55">
        <v>30</v>
      </c>
      <c r="B55" t="s">
        <v>7</v>
      </c>
      <c r="C55" s="1">
        <v>25401</v>
      </c>
      <c r="D55" s="1" t="s">
        <v>36</v>
      </c>
      <c r="E55">
        <v>43.87838</v>
      </c>
      <c r="F55">
        <v>11.103210000000001</v>
      </c>
      <c r="G55" s="1">
        <v>25290</v>
      </c>
      <c r="H55" s="1" t="s">
        <v>32</v>
      </c>
      <c r="I55">
        <v>43.81803</v>
      </c>
      <c r="J55">
        <v>11.211550000000001</v>
      </c>
      <c r="K55">
        <v>7.0000002021434513</v>
      </c>
      <c r="L55">
        <v>58.8</v>
      </c>
      <c r="M55">
        <v>3767.2927545171601</v>
      </c>
      <c r="N55">
        <v>1</v>
      </c>
      <c r="O55">
        <v>58.8</v>
      </c>
    </row>
    <row r="56" spans="1:15" x14ac:dyDescent="0.25">
      <c r="A56">
        <v>30</v>
      </c>
      <c r="B56" t="s">
        <v>7</v>
      </c>
      <c r="C56" s="1">
        <v>25401</v>
      </c>
      <c r="D56" s="1" t="s">
        <v>36</v>
      </c>
      <c r="E56">
        <v>43.87838</v>
      </c>
      <c r="F56">
        <v>11.103210000000001</v>
      </c>
      <c r="G56" s="1">
        <v>25433</v>
      </c>
      <c r="H56" s="1" t="s">
        <v>44</v>
      </c>
      <c r="I56">
        <v>43.923850000000002</v>
      </c>
      <c r="J56">
        <v>11.03511</v>
      </c>
      <c r="K56">
        <v>17.000000001201951</v>
      </c>
      <c r="L56">
        <v>775.42246720072467</v>
      </c>
      <c r="M56">
        <v>0</v>
      </c>
      <c r="N56">
        <v>0</v>
      </c>
      <c r="O56">
        <v>0</v>
      </c>
    </row>
    <row r="57" spans="1:15" x14ac:dyDescent="0.25">
      <c r="A57">
        <v>30</v>
      </c>
      <c r="B57" t="s">
        <v>7</v>
      </c>
      <c r="C57" s="1">
        <v>25421</v>
      </c>
      <c r="D57" s="1" t="s">
        <v>41</v>
      </c>
      <c r="E57">
        <v>43.619419999999998</v>
      </c>
      <c r="F57">
        <v>11.47508</v>
      </c>
      <c r="G57" s="1">
        <v>4142</v>
      </c>
      <c r="H57" s="1" t="s">
        <v>42</v>
      </c>
      <c r="I57">
        <v>43.529310000000002</v>
      </c>
      <c r="J57">
        <v>11.56737</v>
      </c>
      <c r="K57">
        <v>0.99999979480078149</v>
      </c>
      <c r="L57">
        <v>6.3182360489060949</v>
      </c>
      <c r="M57">
        <v>0</v>
      </c>
      <c r="N57">
        <v>0</v>
      </c>
      <c r="O57">
        <v>0</v>
      </c>
    </row>
    <row r="58" spans="1:15" x14ac:dyDescent="0.25">
      <c r="A58">
        <v>30</v>
      </c>
      <c r="B58" t="s">
        <v>7</v>
      </c>
      <c r="C58" s="1">
        <v>25421</v>
      </c>
      <c r="D58" s="1" t="s">
        <v>41</v>
      </c>
      <c r="E58">
        <v>43.619419999999998</v>
      </c>
      <c r="F58">
        <v>11.47508</v>
      </c>
      <c r="G58" s="1">
        <v>4144</v>
      </c>
      <c r="H58" s="1" t="s">
        <v>38</v>
      </c>
      <c r="I58">
        <v>43.568049999999999</v>
      </c>
      <c r="J58">
        <v>11.529260000000001</v>
      </c>
      <c r="K58">
        <v>4.9999989735071164</v>
      </c>
      <c r="L58">
        <v>194.4</v>
      </c>
      <c r="M58">
        <v>2187.4603090744799</v>
      </c>
      <c r="N58">
        <v>1</v>
      </c>
      <c r="O58">
        <v>194.4</v>
      </c>
    </row>
    <row r="59" spans="1:15" x14ac:dyDescent="0.25">
      <c r="A59">
        <v>30</v>
      </c>
      <c r="B59" t="s">
        <v>7</v>
      </c>
      <c r="C59" s="1">
        <v>33214</v>
      </c>
      <c r="D59" s="1" t="s">
        <v>51</v>
      </c>
      <c r="E59">
        <v>43.868270000000003</v>
      </c>
      <c r="F59">
        <v>10.252879999999999</v>
      </c>
      <c r="G59" s="1">
        <v>33220</v>
      </c>
      <c r="H59" s="1" t="s">
        <v>39</v>
      </c>
      <c r="I59">
        <v>43.894159999999999</v>
      </c>
      <c r="J59">
        <v>10.22714</v>
      </c>
      <c r="K59">
        <v>3</v>
      </c>
      <c r="L59">
        <v>210.7</v>
      </c>
      <c r="M59">
        <v>4642.2768781469513</v>
      </c>
      <c r="N59">
        <v>4</v>
      </c>
      <c r="O59">
        <v>210.7</v>
      </c>
    </row>
    <row r="60" spans="1:15" x14ac:dyDescent="0.25">
      <c r="A60">
        <v>30</v>
      </c>
      <c r="B60" t="s">
        <v>7</v>
      </c>
      <c r="C60" s="1">
        <v>33220</v>
      </c>
      <c r="D60" s="1" t="s">
        <v>39</v>
      </c>
      <c r="E60">
        <v>43.894159999999999</v>
      </c>
      <c r="F60">
        <v>10.22714</v>
      </c>
      <c r="G60" s="1">
        <v>33221</v>
      </c>
      <c r="H60" s="1" t="s">
        <v>40</v>
      </c>
      <c r="I60">
        <v>43.956339999999997</v>
      </c>
      <c r="J60">
        <v>10.22996</v>
      </c>
      <c r="K60">
        <v>5</v>
      </c>
      <c r="L60">
        <v>162.42626254413031</v>
      </c>
      <c r="M60">
        <v>8098.4641664846285</v>
      </c>
      <c r="N60">
        <v>3</v>
      </c>
      <c r="O60">
        <v>114.6</v>
      </c>
    </row>
    <row r="61" spans="1:15" x14ac:dyDescent="0.25">
      <c r="A61">
        <v>30</v>
      </c>
      <c r="B61" t="s">
        <v>7</v>
      </c>
      <c r="C61" s="1">
        <v>4144</v>
      </c>
      <c r="D61" s="1" t="s">
        <v>38</v>
      </c>
      <c r="E61">
        <v>43.568049999999999</v>
      </c>
      <c r="F61">
        <v>11.529260000000001</v>
      </c>
      <c r="G61" s="1">
        <v>25421</v>
      </c>
      <c r="H61" s="1" t="s">
        <v>41</v>
      </c>
      <c r="I61">
        <v>43.619419999999998</v>
      </c>
      <c r="J61">
        <v>11.47508</v>
      </c>
      <c r="K61">
        <v>1.999999589864385</v>
      </c>
      <c r="L61">
        <v>82.6</v>
      </c>
      <c r="M61">
        <v>6691.1980343133819</v>
      </c>
      <c r="N61">
        <v>1</v>
      </c>
      <c r="O61">
        <v>82.6</v>
      </c>
    </row>
    <row r="62" spans="1:15" x14ac:dyDescent="0.25">
      <c r="A62">
        <v>30</v>
      </c>
      <c r="B62" t="s">
        <v>7</v>
      </c>
      <c r="C62" s="1">
        <v>4144</v>
      </c>
      <c r="D62" s="1" t="s">
        <v>38</v>
      </c>
      <c r="E62">
        <v>43.568049999999999</v>
      </c>
      <c r="F62">
        <v>11.529260000000001</v>
      </c>
      <c r="G62" s="1">
        <v>4142</v>
      </c>
      <c r="H62" s="1" t="s">
        <v>42</v>
      </c>
      <c r="I62">
        <v>43.529310000000002</v>
      </c>
      <c r="J62">
        <v>11.56737</v>
      </c>
      <c r="K62">
        <v>3.999999179776847</v>
      </c>
      <c r="L62">
        <v>244.6</v>
      </c>
      <c r="M62">
        <v>1458.30687271632</v>
      </c>
      <c r="N62">
        <v>1</v>
      </c>
      <c r="O62">
        <v>244.6</v>
      </c>
    </row>
    <row r="63" spans="1:15" x14ac:dyDescent="0.25">
      <c r="A63">
        <v>30</v>
      </c>
      <c r="B63" t="s">
        <v>7</v>
      </c>
      <c r="C63" s="1">
        <v>46445</v>
      </c>
      <c r="D63" s="1" t="s">
        <v>35</v>
      </c>
      <c r="E63">
        <v>43.10801</v>
      </c>
      <c r="F63">
        <v>12.377940000000001</v>
      </c>
      <c r="G63" s="1">
        <v>46468</v>
      </c>
      <c r="H63" s="1" t="s">
        <v>33</v>
      </c>
      <c r="I63">
        <v>43.116489999999999</v>
      </c>
      <c r="J63">
        <v>12.45126</v>
      </c>
      <c r="K63">
        <v>6</v>
      </c>
      <c r="L63">
        <v>339.78889278742838</v>
      </c>
      <c r="M63">
        <v>7194.3139054005114</v>
      </c>
      <c r="N63">
        <v>2</v>
      </c>
      <c r="O63">
        <v>333.4</v>
      </c>
    </row>
    <row r="64" spans="1:15" x14ac:dyDescent="0.25">
      <c r="A64">
        <v>30</v>
      </c>
      <c r="B64" t="s">
        <v>7</v>
      </c>
      <c r="C64" s="1">
        <v>46445</v>
      </c>
      <c r="D64" s="1" t="s">
        <v>35</v>
      </c>
      <c r="E64">
        <v>43.10801</v>
      </c>
      <c r="F64">
        <v>12.377940000000001</v>
      </c>
      <c r="G64" s="1">
        <v>46471</v>
      </c>
      <c r="H64" s="1" t="s">
        <v>34</v>
      </c>
      <c r="I64">
        <v>43.10031</v>
      </c>
      <c r="J64">
        <v>12.318519999999999</v>
      </c>
      <c r="K64">
        <v>8</v>
      </c>
      <c r="L64">
        <v>377</v>
      </c>
      <c r="M64">
        <v>5420.0405435956563</v>
      </c>
      <c r="N64">
        <v>3</v>
      </c>
      <c r="O64">
        <v>377</v>
      </c>
    </row>
    <row r="65" spans="1:15" x14ac:dyDescent="0.25">
      <c r="A65">
        <v>30</v>
      </c>
      <c r="B65" t="s">
        <v>7</v>
      </c>
      <c r="C65" s="1">
        <v>46471</v>
      </c>
      <c r="D65" s="1" t="s">
        <v>34</v>
      </c>
      <c r="E65">
        <v>43.10031</v>
      </c>
      <c r="F65">
        <v>12.318519999999999</v>
      </c>
      <c r="G65" s="1">
        <v>46445</v>
      </c>
      <c r="H65" s="1" t="s">
        <v>35</v>
      </c>
      <c r="I65">
        <v>43.10801</v>
      </c>
      <c r="J65">
        <v>12.377940000000001</v>
      </c>
      <c r="K65">
        <v>10</v>
      </c>
      <c r="L65">
        <v>654.17667066032936</v>
      </c>
      <c r="M65">
        <v>0</v>
      </c>
      <c r="N65">
        <v>0</v>
      </c>
      <c r="O65">
        <v>0</v>
      </c>
    </row>
    <row r="66" spans="1:15" x14ac:dyDescent="0.25">
      <c r="A66">
        <v>30</v>
      </c>
      <c r="B66" t="s">
        <v>7</v>
      </c>
      <c r="C66" s="1">
        <v>59131</v>
      </c>
      <c r="D66" s="1" t="s">
        <v>45</v>
      </c>
      <c r="E66">
        <v>43.331879999999998</v>
      </c>
      <c r="F66">
        <v>11.32122</v>
      </c>
      <c r="G66" s="1">
        <v>59157</v>
      </c>
      <c r="H66" s="1" t="s">
        <v>45</v>
      </c>
      <c r="I66">
        <v>43.29034</v>
      </c>
      <c r="J66">
        <v>11.33822</v>
      </c>
      <c r="K66">
        <v>20</v>
      </c>
      <c r="L66">
        <v>1303.42</v>
      </c>
      <c r="M66">
        <v>4.8610229090543999</v>
      </c>
      <c r="N66">
        <v>2</v>
      </c>
      <c r="O66">
        <v>1303.42</v>
      </c>
    </row>
    <row r="67" spans="1:15" x14ac:dyDescent="0.25">
      <c r="A67">
        <v>30</v>
      </c>
      <c r="B67" t="s">
        <v>7</v>
      </c>
      <c r="C67" s="1">
        <v>59157</v>
      </c>
      <c r="D67" s="1" t="s">
        <v>45</v>
      </c>
      <c r="E67">
        <v>43.29034</v>
      </c>
      <c r="F67">
        <v>11.33822</v>
      </c>
      <c r="G67" s="1">
        <v>59131</v>
      </c>
      <c r="H67" s="1" t="s">
        <v>45</v>
      </c>
      <c r="I67">
        <v>43.331879999999998</v>
      </c>
      <c r="J67">
        <v>11.32122</v>
      </c>
      <c r="K67">
        <v>6</v>
      </c>
      <c r="L67">
        <v>396.24562484832131</v>
      </c>
      <c r="M67">
        <v>0</v>
      </c>
      <c r="N67">
        <v>0</v>
      </c>
      <c r="O67">
        <v>0</v>
      </c>
    </row>
    <row r="68" spans="1:15" x14ac:dyDescent="0.25">
      <c r="A68">
        <v>30</v>
      </c>
      <c r="B68" t="s">
        <v>8</v>
      </c>
      <c r="C68" s="1">
        <v>25290</v>
      </c>
      <c r="D68" s="1" t="s">
        <v>32</v>
      </c>
      <c r="E68">
        <v>43.81803</v>
      </c>
      <c r="F68">
        <v>11.211550000000001</v>
      </c>
      <c r="G68" s="1">
        <v>25239</v>
      </c>
      <c r="H68" s="1" t="s">
        <v>31</v>
      </c>
      <c r="I68">
        <v>43.77281</v>
      </c>
      <c r="J68">
        <v>11.29452</v>
      </c>
      <c r="K68">
        <v>30</v>
      </c>
      <c r="L68">
        <v>1131.200000000001</v>
      </c>
      <c r="M68">
        <v>7291.5343635815998</v>
      </c>
      <c r="N68">
        <v>2</v>
      </c>
      <c r="O68">
        <v>1131.2</v>
      </c>
    </row>
    <row r="69" spans="1:15" x14ac:dyDescent="0.25">
      <c r="A69">
        <v>30</v>
      </c>
      <c r="B69" t="s">
        <v>8</v>
      </c>
      <c r="C69" s="1">
        <v>25290</v>
      </c>
      <c r="D69" s="1" t="s">
        <v>32</v>
      </c>
      <c r="E69">
        <v>43.81803</v>
      </c>
      <c r="F69">
        <v>11.211550000000001</v>
      </c>
      <c r="G69" s="1">
        <v>25398</v>
      </c>
      <c r="H69" s="1" t="s">
        <v>31</v>
      </c>
      <c r="I69">
        <v>43.769460000000002</v>
      </c>
      <c r="J69">
        <v>11.19172</v>
      </c>
      <c r="K69">
        <v>16</v>
      </c>
      <c r="L69">
        <v>907.59999986396338</v>
      </c>
      <c r="M69">
        <v>8995.3228932051661</v>
      </c>
      <c r="N69">
        <v>3</v>
      </c>
      <c r="O69">
        <v>907.6</v>
      </c>
    </row>
    <row r="70" spans="1:15" x14ac:dyDescent="0.25">
      <c r="A70">
        <v>30</v>
      </c>
      <c r="B70" t="s">
        <v>8</v>
      </c>
      <c r="C70" s="1">
        <v>25290</v>
      </c>
      <c r="D70" s="1" t="s">
        <v>32</v>
      </c>
      <c r="E70">
        <v>43.81803</v>
      </c>
      <c r="F70">
        <v>11.211550000000001</v>
      </c>
      <c r="G70" s="1">
        <v>25400</v>
      </c>
      <c r="H70" s="1" t="s">
        <v>31</v>
      </c>
      <c r="I70">
        <v>43.798690000000001</v>
      </c>
      <c r="J70">
        <v>11.20762</v>
      </c>
      <c r="K70">
        <v>20</v>
      </c>
      <c r="L70">
        <v>1628.699999982299</v>
      </c>
      <c r="M70">
        <v>6076.2786363179994</v>
      </c>
      <c r="N70">
        <v>4</v>
      </c>
      <c r="O70">
        <v>1628.7</v>
      </c>
    </row>
    <row r="71" spans="1:15" x14ac:dyDescent="0.25">
      <c r="A71">
        <v>30</v>
      </c>
      <c r="B71" t="s">
        <v>8</v>
      </c>
      <c r="C71" s="1">
        <v>25290</v>
      </c>
      <c r="D71" s="1" t="s">
        <v>32</v>
      </c>
      <c r="E71">
        <v>43.81803</v>
      </c>
      <c r="F71">
        <v>11.211550000000001</v>
      </c>
      <c r="G71" s="1">
        <v>25401</v>
      </c>
      <c r="H71" s="1" t="s">
        <v>36</v>
      </c>
      <c r="I71">
        <v>43.87838</v>
      </c>
      <c r="J71">
        <v>11.103210000000001</v>
      </c>
      <c r="K71">
        <v>44</v>
      </c>
      <c r="L71">
        <v>779.60000000000014</v>
      </c>
      <c r="M71">
        <v>10912.99643082713</v>
      </c>
      <c r="N71">
        <v>3</v>
      </c>
      <c r="O71">
        <v>779.59999999999991</v>
      </c>
    </row>
    <row r="72" spans="1:15" x14ac:dyDescent="0.25">
      <c r="A72">
        <v>30</v>
      </c>
      <c r="B72" t="s">
        <v>8</v>
      </c>
      <c r="C72" s="1">
        <v>25290</v>
      </c>
      <c r="D72" s="1" t="s">
        <v>32</v>
      </c>
      <c r="E72">
        <v>43.81803</v>
      </c>
      <c r="F72">
        <v>11.211550000000001</v>
      </c>
      <c r="G72" s="1">
        <v>25417</v>
      </c>
      <c r="H72" s="1" t="s">
        <v>37</v>
      </c>
      <c r="I72">
        <v>43.754040000000003</v>
      </c>
      <c r="J72">
        <v>11.32128</v>
      </c>
      <c r="K72">
        <v>5</v>
      </c>
      <c r="L72">
        <v>64.900000000000006</v>
      </c>
      <c r="M72">
        <v>7097.093447219424</v>
      </c>
      <c r="N72">
        <v>1</v>
      </c>
      <c r="O72">
        <v>64.900000000000006</v>
      </c>
    </row>
    <row r="73" spans="1:15" x14ac:dyDescent="0.25">
      <c r="A73">
        <v>30</v>
      </c>
      <c r="B73" t="s">
        <v>8</v>
      </c>
      <c r="C73" s="1">
        <v>25398</v>
      </c>
      <c r="D73" s="1" t="s">
        <v>31</v>
      </c>
      <c r="E73">
        <v>43.769460000000002</v>
      </c>
      <c r="F73">
        <v>11.19172</v>
      </c>
      <c r="G73" s="1">
        <v>25239</v>
      </c>
      <c r="H73" s="1" t="s">
        <v>31</v>
      </c>
      <c r="I73">
        <v>43.77281</v>
      </c>
      <c r="J73">
        <v>11.29452</v>
      </c>
      <c r="K73">
        <v>4</v>
      </c>
      <c r="L73">
        <v>134</v>
      </c>
      <c r="M73">
        <v>2916.6137454326399</v>
      </c>
      <c r="N73">
        <v>1</v>
      </c>
      <c r="O73">
        <v>134</v>
      </c>
    </row>
    <row r="74" spans="1:15" x14ac:dyDescent="0.25">
      <c r="A74">
        <v>30</v>
      </c>
      <c r="B74" t="s">
        <v>8</v>
      </c>
      <c r="C74" s="1">
        <v>25398</v>
      </c>
      <c r="D74" s="1" t="s">
        <v>31</v>
      </c>
      <c r="E74">
        <v>43.769460000000002</v>
      </c>
      <c r="F74">
        <v>11.19172</v>
      </c>
      <c r="G74" s="1">
        <v>25290</v>
      </c>
      <c r="H74" s="1" t="s">
        <v>32</v>
      </c>
      <c r="I74">
        <v>43.81803</v>
      </c>
      <c r="J74">
        <v>11.211550000000001</v>
      </c>
      <c r="K74">
        <v>21</v>
      </c>
      <c r="L74">
        <v>38</v>
      </c>
      <c r="M74">
        <v>4377.3511296034876</v>
      </c>
      <c r="N74">
        <v>1</v>
      </c>
      <c r="O74">
        <v>38</v>
      </c>
    </row>
    <row r="75" spans="1:15" x14ac:dyDescent="0.25">
      <c r="A75">
        <v>30</v>
      </c>
      <c r="B75" t="s">
        <v>8</v>
      </c>
      <c r="C75" s="1">
        <v>25400</v>
      </c>
      <c r="D75" s="1" t="s">
        <v>31</v>
      </c>
      <c r="E75">
        <v>43.798690000000001</v>
      </c>
      <c r="F75">
        <v>11.20762</v>
      </c>
      <c r="G75" s="1">
        <v>25290</v>
      </c>
      <c r="H75" s="1" t="s">
        <v>32</v>
      </c>
      <c r="I75">
        <v>43.81803</v>
      </c>
      <c r="J75">
        <v>11.211550000000001</v>
      </c>
      <c r="K75">
        <v>7</v>
      </c>
      <c r="L75">
        <v>159.91999995235551</v>
      </c>
      <c r="M75">
        <v>2673.5625999799199</v>
      </c>
      <c r="N75">
        <v>2</v>
      </c>
      <c r="O75">
        <v>159.91999999999999</v>
      </c>
    </row>
    <row r="76" spans="1:15" x14ac:dyDescent="0.25">
      <c r="A76">
        <v>30</v>
      </c>
      <c r="B76" t="s">
        <v>8</v>
      </c>
      <c r="C76" s="1">
        <v>25400</v>
      </c>
      <c r="D76" s="1" t="s">
        <v>31</v>
      </c>
      <c r="E76">
        <v>43.798690000000001</v>
      </c>
      <c r="F76">
        <v>11.20762</v>
      </c>
      <c r="G76" s="1">
        <v>25398</v>
      </c>
      <c r="H76" s="1" t="s">
        <v>31</v>
      </c>
      <c r="I76">
        <v>43.769460000000002</v>
      </c>
      <c r="J76">
        <v>11.19172</v>
      </c>
      <c r="K76">
        <v>13</v>
      </c>
      <c r="L76">
        <v>961.4</v>
      </c>
      <c r="M76">
        <v>2989.529089068456</v>
      </c>
      <c r="N76">
        <v>2</v>
      </c>
      <c r="O76">
        <v>961.4</v>
      </c>
    </row>
    <row r="77" spans="1:15" x14ac:dyDescent="0.25">
      <c r="A77">
        <v>30</v>
      </c>
      <c r="B77" t="s">
        <v>8</v>
      </c>
      <c r="C77" s="1">
        <v>25401</v>
      </c>
      <c r="D77" s="1" t="s">
        <v>36</v>
      </c>
      <c r="E77">
        <v>43.87838</v>
      </c>
      <c r="F77">
        <v>11.103210000000001</v>
      </c>
      <c r="G77" s="1">
        <v>25290</v>
      </c>
      <c r="H77" s="1" t="s">
        <v>32</v>
      </c>
      <c r="I77">
        <v>43.81803</v>
      </c>
      <c r="J77">
        <v>11.211550000000001</v>
      </c>
      <c r="K77">
        <v>17</v>
      </c>
      <c r="L77">
        <v>58.79999999054715</v>
      </c>
      <c r="M77">
        <v>3767.2927545171601</v>
      </c>
      <c r="N77">
        <v>1</v>
      </c>
      <c r="O77">
        <v>58.8</v>
      </c>
    </row>
    <row r="78" spans="1:15" x14ac:dyDescent="0.25">
      <c r="A78">
        <v>30</v>
      </c>
      <c r="B78" t="s">
        <v>8</v>
      </c>
      <c r="C78" s="1">
        <v>25401</v>
      </c>
      <c r="D78" s="1" t="s">
        <v>36</v>
      </c>
      <c r="E78">
        <v>43.87838</v>
      </c>
      <c r="F78">
        <v>11.103210000000001</v>
      </c>
      <c r="G78" s="1">
        <v>25433</v>
      </c>
      <c r="H78" s="1" t="s">
        <v>44</v>
      </c>
      <c r="I78">
        <v>43.923850000000002</v>
      </c>
      <c r="J78">
        <v>11.03511</v>
      </c>
      <c r="K78">
        <v>18</v>
      </c>
      <c r="L78">
        <v>792</v>
      </c>
      <c r="M78">
        <v>2916.6137454326399</v>
      </c>
      <c r="N78">
        <v>1</v>
      </c>
      <c r="O78">
        <v>792</v>
      </c>
    </row>
    <row r="79" spans="1:15" x14ac:dyDescent="0.25">
      <c r="A79">
        <v>30</v>
      </c>
      <c r="B79" t="s">
        <v>8</v>
      </c>
      <c r="C79" s="1">
        <v>25421</v>
      </c>
      <c r="D79" s="1" t="s">
        <v>41</v>
      </c>
      <c r="E79">
        <v>43.619419999999998</v>
      </c>
      <c r="F79">
        <v>11.47508</v>
      </c>
      <c r="G79" s="1">
        <v>4144</v>
      </c>
      <c r="H79" s="1" t="s">
        <v>38</v>
      </c>
      <c r="I79">
        <v>43.568049999999999</v>
      </c>
      <c r="J79">
        <v>11.529260000000001</v>
      </c>
      <c r="K79">
        <v>5</v>
      </c>
      <c r="L79">
        <v>194.4</v>
      </c>
      <c r="M79">
        <v>2187.4603090744799</v>
      </c>
      <c r="N79">
        <v>1</v>
      </c>
      <c r="O79">
        <v>194.4</v>
      </c>
    </row>
    <row r="80" spans="1:15" x14ac:dyDescent="0.25">
      <c r="A80">
        <v>30</v>
      </c>
      <c r="B80" t="s">
        <v>8</v>
      </c>
      <c r="C80" s="1">
        <v>33212</v>
      </c>
      <c r="D80" s="1" t="s">
        <v>46</v>
      </c>
      <c r="E80">
        <v>43.844110000000001</v>
      </c>
      <c r="F80">
        <v>10.525460000000001</v>
      </c>
      <c r="G80" s="1">
        <v>77150</v>
      </c>
      <c r="H80" s="1" t="s">
        <v>46</v>
      </c>
      <c r="I80">
        <v>43.860230000000001</v>
      </c>
      <c r="J80">
        <v>10.51596</v>
      </c>
      <c r="K80">
        <v>1.5096278443843489E-6</v>
      </c>
      <c r="L80">
        <v>1.158763858646335E-4</v>
      </c>
      <c r="M80">
        <v>1069.4250399919681</v>
      </c>
      <c r="N80">
        <v>1</v>
      </c>
      <c r="O80">
        <v>153</v>
      </c>
    </row>
    <row r="81" spans="1:15" x14ac:dyDescent="0.25">
      <c r="A81">
        <v>30</v>
      </c>
      <c r="B81" t="s">
        <v>8</v>
      </c>
      <c r="C81" s="1">
        <v>33214</v>
      </c>
      <c r="D81" s="1" t="s">
        <v>51</v>
      </c>
      <c r="E81">
        <v>43.868270000000003</v>
      </c>
      <c r="F81">
        <v>10.252879999999999</v>
      </c>
      <c r="G81" s="1">
        <v>33220</v>
      </c>
      <c r="H81" s="1" t="s">
        <v>39</v>
      </c>
      <c r="I81">
        <v>43.894159999999999</v>
      </c>
      <c r="J81">
        <v>10.22714</v>
      </c>
      <c r="K81">
        <v>3</v>
      </c>
      <c r="L81">
        <v>210.7</v>
      </c>
      <c r="M81">
        <v>4642.2768781469513</v>
      </c>
      <c r="N81">
        <v>4</v>
      </c>
      <c r="O81">
        <v>210.7</v>
      </c>
    </row>
    <row r="82" spans="1:15" x14ac:dyDescent="0.25">
      <c r="A82">
        <v>30</v>
      </c>
      <c r="B82" t="s">
        <v>8</v>
      </c>
      <c r="C82" s="1">
        <v>33218</v>
      </c>
      <c r="D82" s="1" t="s">
        <v>52</v>
      </c>
      <c r="E82">
        <v>44.033050000000003</v>
      </c>
      <c r="F82">
        <v>10.50367</v>
      </c>
      <c r="G82" s="1">
        <v>33219</v>
      </c>
      <c r="H82" s="1" t="s">
        <v>47</v>
      </c>
      <c r="I82">
        <v>44.110500000000002</v>
      </c>
      <c r="J82">
        <v>10.41159</v>
      </c>
      <c r="K82">
        <v>23.999995457640829</v>
      </c>
      <c r="L82">
        <v>358.49993212217782</v>
      </c>
      <c r="M82">
        <v>4131.8694726962403</v>
      </c>
      <c r="N82">
        <v>1</v>
      </c>
      <c r="O82">
        <v>358.5</v>
      </c>
    </row>
    <row r="83" spans="1:15" x14ac:dyDescent="0.25">
      <c r="A83">
        <v>30</v>
      </c>
      <c r="B83" t="s">
        <v>8</v>
      </c>
      <c r="C83" s="1">
        <v>33220</v>
      </c>
      <c r="D83" s="1" t="s">
        <v>39</v>
      </c>
      <c r="E83">
        <v>43.894159999999999</v>
      </c>
      <c r="F83">
        <v>10.22714</v>
      </c>
      <c r="G83" s="1">
        <v>33221</v>
      </c>
      <c r="H83" s="1" t="s">
        <v>40</v>
      </c>
      <c r="I83">
        <v>43.956339999999997</v>
      </c>
      <c r="J83">
        <v>10.22996</v>
      </c>
      <c r="K83">
        <v>5</v>
      </c>
      <c r="L83">
        <v>168.3</v>
      </c>
      <c r="M83">
        <v>10164.398902832751</v>
      </c>
      <c r="N83">
        <v>4</v>
      </c>
      <c r="O83">
        <v>168.3</v>
      </c>
    </row>
    <row r="84" spans="1:15" x14ac:dyDescent="0.25">
      <c r="A84">
        <v>30</v>
      </c>
      <c r="B84" t="s">
        <v>8</v>
      </c>
      <c r="C84" s="1">
        <v>4144</v>
      </c>
      <c r="D84" s="1" t="s">
        <v>38</v>
      </c>
      <c r="E84">
        <v>43.568049999999999</v>
      </c>
      <c r="F84">
        <v>11.529260000000001</v>
      </c>
      <c r="G84" s="1">
        <v>25421</v>
      </c>
      <c r="H84" s="1" t="s">
        <v>41</v>
      </c>
      <c r="I84">
        <v>43.619419999999998</v>
      </c>
      <c r="J84">
        <v>11.47508</v>
      </c>
      <c r="K84">
        <v>2</v>
      </c>
      <c r="L84">
        <v>82.6</v>
      </c>
      <c r="M84">
        <v>6691.1980343133819</v>
      </c>
      <c r="N84">
        <v>1</v>
      </c>
      <c r="O84">
        <v>82.6</v>
      </c>
    </row>
    <row r="85" spans="1:15" x14ac:dyDescent="0.25">
      <c r="A85">
        <v>30</v>
      </c>
      <c r="B85" t="s">
        <v>8</v>
      </c>
      <c r="C85" s="1">
        <v>4144</v>
      </c>
      <c r="D85" s="1" t="s">
        <v>38</v>
      </c>
      <c r="E85">
        <v>43.568049999999999</v>
      </c>
      <c r="F85">
        <v>11.529260000000001</v>
      </c>
      <c r="G85" s="1">
        <v>4142</v>
      </c>
      <c r="H85" s="1" t="s">
        <v>42</v>
      </c>
      <c r="I85">
        <v>43.529310000000002</v>
      </c>
      <c r="J85">
        <v>11.56737</v>
      </c>
      <c r="K85">
        <v>4</v>
      </c>
      <c r="L85">
        <v>244.6</v>
      </c>
      <c r="M85">
        <v>1458.30687271632</v>
      </c>
      <c r="N85">
        <v>1</v>
      </c>
      <c r="O85">
        <v>244.6</v>
      </c>
    </row>
    <row r="86" spans="1:15" x14ac:dyDescent="0.25">
      <c r="A86">
        <v>30</v>
      </c>
      <c r="B86" t="s">
        <v>8</v>
      </c>
      <c r="C86" s="1">
        <v>46445</v>
      </c>
      <c r="D86" s="1" t="s">
        <v>35</v>
      </c>
      <c r="E86">
        <v>43.10801</v>
      </c>
      <c r="F86">
        <v>12.377940000000001</v>
      </c>
      <c r="G86" s="1">
        <v>46468</v>
      </c>
      <c r="H86" s="1" t="s">
        <v>33</v>
      </c>
      <c r="I86">
        <v>43.116489999999999</v>
      </c>
      <c r="J86">
        <v>12.45126</v>
      </c>
      <c r="K86">
        <v>7</v>
      </c>
      <c r="L86">
        <v>369.39999999913778</v>
      </c>
      <c r="M86">
        <v>9381.7742144749918</v>
      </c>
      <c r="N86">
        <v>3</v>
      </c>
      <c r="O86">
        <v>369.4</v>
      </c>
    </row>
    <row r="87" spans="1:15" x14ac:dyDescent="0.25">
      <c r="A87">
        <v>30</v>
      </c>
      <c r="B87" t="s">
        <v>8</v>
      </c>
      <c r="C87" s="1">
        <v>46445</v>
      </c>
      <c r="D87" s="1" t="s">
        <v>35</v>
      </c>
      <c r="E87">
        <v>43.10801</v>
      </c>
      <c r="F87">
        <v>12.377940000000001</v>
      </c>
      <c r="G87" s="1">
        <v>46471</v>
      </c>
      <c r="H87" s="1" t="s">
        <v>34</v>
      </c>
      <c r="I87">
        <v>43.10031</v>
      </c>
      <c r="J87">
        <v>12.318519999999999</v>
      </c>
      <c r="K87">
        <v>11</v>
      </c>
      <c r="L87">
        <v>376.99999999965257</v>
      </c>
      <c r="M87">
        <v>5420.0405435956563</v>
      </c>
      <c r="N87">
        <v>3</v>
      </c>
      <c r="O87">
        <v>377</v>
      </c>
    </row>
    <row r="88" spans="1:15" x14ac:dyDescent="0.25">
      <c r="A88">
        <v>30</v>
      </c>
      <c r="B88" t="s">
        <v>8</v>
      </c>
      <c r="C88" s="1">
        <v>46471</v>
      </c>
      <c r="D88" s="1" t="s">
        <v>34</v>
      </c>
      <c r="E88">
        <v>43.10031</v>
      </c>
      <c r="F88">
        <v>12.318519999999999</v>
      </c>
      <c r="G88" s="1">
        <v>46445</v>
      </c>
      <c r="H88" s="1" t="s">
        <v>35</v>
      </c>
      <c r="I88">
        <v>43.10801</v>
      </c>
      <c r="J88">
        <v>12.377940000000001</v>
      </c>
      <c r="K88">
        <v>11</v>
      </c>
      <c r="L88">
        <v>678.87999999867418</v>
      </c>
      <c r="M88">
        <v>1701.35801816904</v>
      </c>
      <c r="N88">
        <v>1</v>
      </c>
      <c r="O88">
        <v>678.88</v>
      </c>
    </row>
    <row r="89" spans="1:15" x14ac:dyDescent="0.25">
      <c r="A89">
        <v>30</v>
      </c>
      <c r="B89" t="s">
        <v>8</v>
      </c>
      <c r="C89" s="1">
        <v>92197</v>
      </c>
      <c r="D89" s="1" t="s">
        <v>53</v>
      </c>
      <c r="E89">
        <v>42.570590000000003</v>
      </c>
      <c r="F89">
        <v>12.632300000000001</v>
      </c>
      <c r="G89" s="1">
        <v>92198</v>
      </c>
      <c r="H89" s="1" t="s">
        <v>48</v>
      </c>
      <c r="I89">
        <v>42.529159999999997</v>
      </c>
      <c r="J89">
        <v>12.51361</v>
      </c>
      <c r="K89">
        <v>25</v>
      </c>
      <c r="L89">
        <v>475</v>
      </c>
      <c r="M89">
        <v>7218.6190199457833</v>
      </c>
      <c r="N89">
        <v>2</v>
      </c>
      <c r="O89">
        <v>475</v>
      </c>
    </row>
    <row r="90" spans="1:15" x14ac:dyDescent="0.25">
      <c r="A90">
        <v>30</v>
      </c>
      <c r="B90" t="s">
        <v>9</v>
      </c>
      <c r="C90" s="1">
        <v>25290</v>
      </c>
      <c r="D90" s="1" t="s">
        <v>32</v>
      </c>
      <c r="E90">
        <v>43.81803</v>
      </c>
      <c r="F90">
        <v>11.211550000000001</v>
      </c>
      <c r="G90" s="1">
        <v>25239</v>
      </c>
      <c r="H90" s="1" t="s">
        <v>31</v>
      </c>
      <c r="I90">
        <v>43.77281</v>
      </c>
      <c r="J90">
        <v>11.29452</v>
      </c>
      <c r="K90">
        <v>30</v>
      </c>
      <c r="L90">
        <v>1131.2</v>
      </c>
      <c r="M90">
        <v>7291.5343635815998</v>
      </c>
      <c r="N90">
        <v>2</v>
      </c>
      <c r="O90">
        <v>1131.2</v>
      </c>
    </row>
    <row r="91" spans="1:15" x14ac:dyDescent="0.25">
      <c r="A91">
        <v>30</v>
      </c>
      <c r="B91" t="s">
        <v>9</v>
      </c>
      <c r="C91" s="1">
        <v>25290</v>
      </c>
      <c r="D91" s="1" t="s">
        <v>32</v>
      </c>
      <c r="E91">
        <v>43.81803</v>
      </c>
      <c r="F91">
        <v>11.211550000000001</v>
      </c>
      <c r="G91" s="1">
        <v>25398</v>
      </c>
      <c r="H91" s="1" t="s">
        <v>31</v>
      </c>
      <c r="I91">
        <v>43.769460000000002</v>
      </c>
      <c r="J91">
        <v>11.19172</v>
      </c>
      <c r="K91">
        <v>16</v>
      </c>
      <c r="L91">
        <v>907.6</v>
      </c>
      <c r="M91">
        <v>8995.3228932051661</v>
      </c>
      <c r="N91">
        <v>3</v>
      </c>
      <c r="O91">
        <v>907.6</v>
      </c>
    </row>
    <row r="92" spans="1:15" x14ac:dyDescent="0.25">
      <c r="A92">
        <v>30</v>
      </c>
      <c r="B92" t="s">
        <v>9</v>
      </c>
      <c r="C92" s="1">
        <v>25290</v>
      </c>
      <c r="D92" s="1" t="s">
        <v>32</v>
      </c>
      <c r="E92">
        <v>43.81803</v>
      </c>
      <c r="F92">
        <v>11.211550000000001</v>
      </c>
      <c r="G92" s="1">
        <v>25400</v>
      </c>
      <c r="H92" s="1" t="s">
        <v>31</v>
      </c>
      <c r="I92">
        <v>43.798690000000001</v>
      </c>
      <c r="J92">
        <v>11.20762</v>
      </c>
      <c r="K92">
        <v>32</v>
      </c>
      <c r="L92">
        <v>2695.16</v>
      </c>
      <c r="M92">
        <v>7291.5343635815998</v>
      </c>
      <c r="N92">
        <v>5</v>
      </c>
      <c r="O92">
        <v>2695.16</v>
      </c>
    </row>
    <row r="93" spans="1:15" x14ac:dyDescent="0.25">
      <c r="A93">
        <v>30</v>
      </c>
      <c r="B93" t="s">
        <v>9</v>
      </c>
      <c r="C93" s="1">
        <v>25290</v>
      </c>
      <c r="D93" s="1" t="s">
        <v>32</v>
      </c>
      <c r="E93">
        <v>43.81803</v>
      </c>
      <c r="F93">
        <v>11.211550000000001</v>
      </c>
      <c r="G93" s="1">
        <v>25401</v>
      </c>
      <c r="H93" s="1" t="s">
        <v>36</v>
      </c>
      <c r="I93">
        <v>43.87838</v>
      </c>
      <c r="J93">
        <v>11.103210000000001</v>
      </c>
      <c r="K93">
        <v>19</v>
      </c>
      <c r="L93">
        <v>342.18405166021148</v>
      </c>
      <c r="M93">
        <v>7024.1781035836084</v>
      </c>
      <c r="N93">
        <v>2</v>
      </c>
      <c r="O93">
        <v>331.4</v>
      </c>
    </row>
    <row r="94" spans="1:15" x14ac:dyDescent="0.25">
      <c r="A94">
        <v>30</v>
      </c>
      <c r="B94" t="s">
        <v>9</v>
      </c>
      <c r="C94" s="1">
        <v>25290</v>
      </c>
      <c r="D94" s="1" t="s">
        <v>32</v>
      </c>
      <c r="E94">
        <v>43.81803</v>
      </c>
      <c r="F94">
        <v>11.211550000000001</v>
      </c>
      <c r="G94" s="1">
        <v>25417</v>
      </c>
      <c r="H94" s="1" t="s">
        <v>37</v>
      </c>
      <c r="I94">
        <v>43.754040000000003</v>
      </c>
      <c r="J94">
        <v>11.32128</v>
      </c>
      <c r="K94">
        <v>5</v>
      </c>
      <c r="L94">
        <v>64.900000000000006</v>
      </c>
      <c r="M94">
        <v>7097.093447219424</v>
      </c>
      <c r="N94">
        <v>1</v>
      </c>
      <c r="O94">
        <v>64.900000000000006</v>
      </c>
    </row>
    <row r="95" spans="1:15" x14ac:dyDescent="0.25">
      <c r="A95">
        <v>30</v>
      </c>
      <c r="B95" t="s">
        <v>9</v>
      </c>
      <c r="C95" s="1">
        <v>25398</v>
      </c>
      <c r="D95" s="1" t="s">
        <v>31</v>
      </c>
      <c r="E95">
        <v>43.769460000000002</v>
      </c>
      <c r="F95">
        <v>11.19172</v>
      </c>
      <c r="G95" s="1">
        <v>25239</v>
      </c>
      <c r="H95" s="1" t="s">
        <v>31</v>
      </c>
      <c r="I95">
        <v>43.77281</v>
      </c>
      <c r="J95">
        <v>11.29452</v>
      </c>
      <c r="K95">
        <v>4</v>
      </c>
      <c r="L95">
        <v>134</v>
      </c>
      <c r="M95">
        <v>2916.6137454326399</v>
      </c>
      <c r="N95">
        <v>1</v>
      </c>
      <c r="O95">
        <v>134</v>
      </c>
    </row>
    <row r="96" spans="1:15" x14ac:dyDescent="0.25">
      <c r="A96">
        <v>30</v>
      </c>
      <c r="B96" t="s">
        <v>9</v>
      </c>
      <c r="C96" s="1">
        <v>25398</v>
      </c>
      <c r="D96" s="1" t="s">
        <v>31</v>
      </c>
      <c r="E96">
        <v>43.769460000000002</v>
      </c>
      <c r="F96">
        <v>11.19172</v>
      </c>
      <c r="G96" s="1">
        <v>25290</v>
      </c>
      <c r="H96" s="1" t="s">
        <v>32</v>
      </c>
      <c r="I96">
        <v>43.81803</v>
      </c>
      <c r="J96">
        <v>11.211550000000001</v>
      </c>
      <c r="K96">
        <v>21</v>
      </c>
      <c r="L96">
        <v>38</v>
      </c>
      <c r="M96">
        <v>4377.3511296034876</v>
      </c>
      <c r="N96">
        <v>1</v>
      </c>
      <c r="O96">
        <v>38</v>
      </c>
    </row>
    <row r="97" spans="1:15" x14ac:dyDescent="0.25">
      <c r="A97">
        <v>30</v>
      </c>
      <c r="B97" t="s">
        <v>9</v>
      </c>
      <c r="C97" s="1">
        <v>25400</v>
      </c>
      <c r="D97" s="1" t="s">
        <v>31</v>
      </c>
      <c r="E97">
        <v>43.798690000000001</v>
      </c>
      <c r="F97">
        <v>11.20762</v>
      </c>
      <c r="G97" s="1">
        <v>25290</v>
      </c>
      <c r="H97" s="1" t="s">
        <v>32</v>
      </c>
      <c r="I97">
        <v>43.81803</v>
      </c>
      <c r="J97">
        <v>11.211550000000001</v>
      </c>
      <c r="K97">
        <v>19</v>
      </c>
      <c r="L97">
        <v>159.91999999964921</v>
      </c>
      <c r="M97">
        <v>2673.5625999799199</v>
      </c>
      <c r="N97">
        <v>2</v>
      </c>
      <c r="O97">
        <v>159.91999999999999</v>
      </c>
    </row>
    <row r="98" spans="1:15" x14ac:dyDescent="0.25">
      <c r="A98">
        <v>30</v>
      </c>
      <c r="B98" t="s">
        <v>9</v>
      </c>
      <c r="C98" s="1">
        <v>25400</v>
      </c>
      <c r="D98" s="1" t="s">
        <v>31</v>
      </c>
      <c r="E98">
        <v>43.798690000000001</v>
      </c>
      <c r="F98">
        <v>11.20762</v>
      </c>
      <c r="G98" s="1">
        <v>25398</v>
      </c>
      <c r="H98" s="1" t="s">
        <v>31</v>
      </c>
      <c r="I98">
        <v>43.769460000000002</v>
      </c>
      <c r="J98">
        <v>11.19172</v>
      </c>
      <c r="K98">
        <v>13</v>
      </c>
      <c r="L98">
        <v>961.39999999999986</v>
      </c>
      <c r="M98">
        <v>2989.529089068456</v>
      </c>
      <c r="N98">
        <v>2</v>
      </c>
      <c r="O98">
        <v>961.4</v>
      </c>
    </row>
    <row r="99" spans="1:15" x14ac:dyDescent="0.25">
      <c r="A99">
        <v>30</v>
      </c>
      <c r="B99" t="s">
        <v>9</v>
      </c>
      <c r="C99" s="1">
        <v>25401</v>
      </c>
      <c r="D99" s="1" t="s">
        <v>36</v>
      </c>
      <c r="E99">
        <v>43.87838</v>
      </c>
      <c r="F99">
        <v>11.103210000000001</v>
      </c>
      <c r="G99" s="1">
        <v>25290</v>
      </c>
      <c r="H99" s="1" t="s">
        <v>32</v>
      </c>
      <c r="I99">
        <v>43.81803</v>
      </c>
      <c r="J99">
        <v>11.211550000000001</v>
      </c>
      <c r="K99">
        <v>16</v>
      </c>
      <c r="L99">
        <v>58.8</v>
      </c>
      <c r="M99">
        <v>3767.2927545171601</v>
      </c>
      <c r="N99">
        <v>1</v>
      </c>
      <c r="O99">
        <v>58.8</v>
      </c>
    </row>
    <row r="100" spans="1:15" x14ac:dyDescent="0.25">
      <c r="A100">
        <v>30</v>
      </c>
      <c r="B100" t="s">
        <v>9</v>
      </c>
      <c r="C100" s="1">
        <v>25401</v>
      </c>
      <c r="D100" s="1" t="s">
        <v>36</v>
      </c>
      <c r="E100">
        <v>43.87838</v>
      </c>
      <c r="F100">
        <v>11.103210000000001</v>
      </c>
      <c r="G100" s="1">
        <v>25433</v>
      </c>
      <c r="H100" s="1" t="s">
        <v>44</v>
      </c>
      <c r="I100">
        <v>43.923850000000002</v>
      </c>
      <c r="J100">
        <v>11.03511</v>
      </c>
      <c r="K100">
        <v>18</v>
      </c>
      <c r="L100">
        <v>792</v>
      </c>
      <c r="M100">
        <v>2916.6137454326399</v>
      </c>
      <c r="N100">
        <v>1</v>
      </c>
      <c r="O100">
        <v>792</v>
      </c>
    </row>
    <row r="101" spans="1:15" x14ac:dyDescent="0.25">
      <c r="A101">
        <v>30</v>
      </c>
      <c r="B101" t="s">
        <v>9</v>
      </c>
      <c r="C101" s="1">
        <v>25421</v>
      </c>
      <c r="D101" s="1" t="s">
        <v>41</v>
      </c>
      <c r="E101">
        <v>43.619419999999998</v>
      </c>
      <c r="F101">
        <v>11.47508</v>
      </c>
      <c r="G101" s="1">
        <v>4144</v>
      </c>
      <c r="H101" s="1" t="s">
        <v>38</v>
      </c>
      <c r="I101">
        <v>43.568049999999999</v>
      </c>
      <c r="J101">
        <v>11.529260000000001</v>
      </c>
      <c r="K101">
        <v>5</v>
      </c>
      <c r="L101">
        <v>194.4</v>
      </c>
      <c r="M101">
        <v>2187.4603090744799</v>
      </c>
      <c r="N101">
        <v>1</v>
      </c>
      <c r="O101">
        <v>194.4</v>
      </c>
    </row>
    <row r="102" spans="1:15" x14ac:dyDescent="0.25">
      <c r="A102">
        <v>30</v>
      </c>
      <c r="B102" t="s">
        <v>9</v>
      </c>
      <c r="C102" s="1">
        <v>33212</v>
      </c>
      <c r="D102" s="1" t="s">
        <v>46</v>
      </c>
      <c r="E102">
        <v>43.844110000000001</v>
      </c>
      <c r="F102">
        <v>10.525460000000001</v>
      </c>
      <c r="G102" s="1">
        <v>77150</v>
      </c>
      <c r="H102" s="1" t="s">
        <v>46</v>
      </c>
      <c r="I102">
        <v>43.860230000000001</v>
      </c>
      <c r="J102">
        <v>10.51596</v>
      </c>
      <c r="K102">
        <v>2</v>
      </c>
      <c r="L102">
        <v>153</v>
      </c>
      <c r="M102">
        <v>1069.4250399919681</v>
      </c>
      <c r="N102">
        <v>1</v>
      </c>
      <c r="O102">
        <v>153</v>
      </c>
    </row>
    <row r="103" spans="1:15" x14ac:dyDescent="0.25">
      <c r="A103">
        <v>30</v>
      </c>
      <c r="B103" t="s">
        <v>9</v>
      </c>
      <c r="C103" s="1">
        <v>33214</v>
      </c>
      <c r="D103" s="1" t="s">
        <v>51</v>
      </c>
      <c r="E103">
        <v>43.868270000000003</v>
      </c>
      <c r="F103">
        <v>10.252879999999999</v>
      </c>
      <c r="G103" s="1">
        <v>33220</v>
      </c>
      <c r="H103" s="1" t="s">
        <v>39</v>
      </c>
      <c r="I103">
        <v>43.894159999999999</v>
      </c>
      <c r="J103">
        <v>10.22714</v>
      </c>
      <c r="K103">
        <v>3</v>
      </c>
      <c r="L103">
        <v>210.6999999999997</v>
      </c>
      <c r="M103">
        <v>4642.2768781469513</v>
      </c>
      <c r="N103">
        <v>4</v>
      </c>
      <c r="O103">
        <v>210.7</v>
      </c>
    </row>
    <row r="104" spans="1:15" x14ac:dyDescent="0.25">
      <c r="A104">
        <v>30</v>
      </c>
      <c r="B104" t="s">
        <v>9</v>
      </c>
      <c r="C104" s="1">
        <v>33220</v>
      </c>
      <c r="D104" s="1" t="s">
        <v>39</v>
      </c>
      <c r="E104">
        <v>43.894159999999999</v>
      </c>
      <c r="F104">
        <v>10.22714</v>
      </c>
      <c r="G104" s="1">
        <v>33221</v>
      </c>
      <c r="H104" s="1" t="s">
        <v>40</v>
      </c>
      <c r="I104">
        <v>43.956339999999997</v>
      </c>
      <c r="J104">
        <v>10.22996</v>
      </c>
      <c r="K104">
        <v>5</v>
      </c>
      <c r="L104">
        <v>168.3</v>
      </c>
      <c r="M104">
        <v>10164.398902832751</v>
      </c>
      <c r="N104">
        <v>4</v>
      </c>
      <c r="O104">
        <v>168.3</v>
      </c>
    </row>
    <row r="105" spans="1:15" x14ac:dyDescent="0.25">
      <c r="A105">
        <v>30</v>
      </c>
      <c r="B105" t="s">
        <v>9</v>
      </c>
      <c r="C105" s="1">
        <v>4144</v>
      </c>
      <c r="D105" s="1" t="s">
        <v>38</v>
      </c>
      <c r="E105">
        <v>43.568049999999999</v>
      </c>
      <c r="F105">
        <v>11.529260000000001</v>
      </c>
      <c r="G105" s="1">
        <v>25421</v>
      </c>
      <c r="H105" s="1" t="s">
        <v>41</v>
      </c>
      <c r="I105">
        <v>43.619419999999998</v>
      </c>
      <c r="J105">
        <v>11.47508</v>
      </c>
      <c r="K105">
        <v>2</v>
      </c>
      <c r="L105">
        <v>82.6</v>
      </c>
      <c r="M105">
        <v>6691.1980343133819</v>
      </c>
      <c r="N105">
        <v>1</v>
      </c>
      <c r="O105">
        <v>82.6</v>
      </c>
    </row>
    <row r="106" spans="1:15" x14ac:dyDescent="0.25">
      <c r="A106">
        <v>30</v>
      </c>
      <c r="B106" t="s">
        <v>9</v>
      </c>
      <c r="C106" s="1">
        <v>4144</v>
      </c>
      <c r="D106" s="1" t="s">
        <v>38</v>
      </c>
      <c r="E106">
        <v>43.568049999999999</v>
      </c>
      <c r="F106">
        <v>11.529260000000001</v>
      </c>
      <c r="G106" s="1">
        <v>4142</v>
      </c>
      <c r="H106" s="1" t="s">
        <v>42</v>
      </c>
      <c r="I106">
        <v>43.529310000000002</v>
      </c>
      <c r="J106">
        <v>11.56737</v>
      </c>
      <c r="K106">
        <v>4</v>
      </c>
      <c r="L106">
        <v>244.6</v>
      </c>
      <c r="M106">
        <v>1458.30687271632</v>
      </c>
      <c r="N106">
        <v>1</v>
      </c>
      <c r="O106">
        <v>244.6</v>
      </c>
    </row>
    <row r="107" spans="1:15" x14ac:dyDescent="0.25">
      <c r="A107">
        <v>30</v>
      </c>
      <c r="B107" t="s">
        <v>9</v>
      </c>
      <c r="C107" s="1">
        <v>46445</v>
      </c>
      <c r="D107" s="1" t="s">
        <v>35</v>
      </c>
      <c r="E107">
        <v>43.10801</v>
      </c>
      <c r="F107">
        <v>12.377940000000001</v>
      </c>
      <c r="G107" s="1">
        <v>46468</v>
      </c>
      <c r="H107" s="1" t="s">
        <v>33</v>
      </c>
      <c r="I107">
        <v>43.116489999999999</v>
      </c>
      <c r="J107">
        <v>12.45126</v>
      </c>
      <c r="K107">
        <v>7</v>
      </c>
      <c r="L107">
        <v>369.4</v>
      </c>
      <c r="M107">
        <v>9381.7742144749918</v>
      </c>
      <c r="N107">
        <v>3</v>
      </c>
      <c r="O107">
        <v>369.4</v>
      </c>
    </row>
    <row r="108" spans="1:15" x14ac:dyDescent="0.25">
      <c r="A108">
        <v>30</v>
      </c>
      <c r="B108" t="s">
        <v>9</v>
      </c>
      <c r="C108" s="1">
        <v>46445</v>
      </c>
      <c r="D108" s="1" t="s">
        <v>35</v>
      </c>
      <c r="E108">
        <v>43.10801</v>
      </c>
      <c r="F108">
        <v>12.377940000000001</v>
      </c>
      <c r="G108" s="1">
        <v>46471</v>
      </c>
      <c r="H108" s="1" t="s">
        <v>34</v>
      </c>
      <c r="I108">
        <v>43.10031</v>
      </c>
      <c r="J108">
        <v>12.318519999999999</v>
      </c>
      <c r="K108">
        <v>8</v>
      </c>
      <c r="L108">
        <v>377</v>
      </c>
      <c r="M108">
        <v>5420.0405435956563</v>
      </c>
      <c r="N108">
        <v>3</v>
      </c>
      <c r="O108">
        <v>377</v>
      </c>
    </row>
    <row r="109" spans="1:15" x14ac:dyDescent="0.25">
      <c r="A109">
        <v>30</v>
      </c>
      <c r="B109" t="s">
        <v>9</v>
      </c>
      <c r="C109" s="1">
        <v>46471</v>
      </c>
      <c r="D109" s="1" t="s">
        <v>34</v>
      </c>
      <c r="E109">
        <v>43.10031</v>
      </c>
      <c r="F109">
        <v>12.318519999999999</v>
      </c>
      <c r="G109" s="1">
        <v>46445</v>
      </c>
      <c r="H109" s="1" t="s">
        <v>35</v>
      </c>
      <c r="I109">
        <v>43.10801</v>
      </c>
      <c r="J109">
        <v>12.377940000000001</v>
      </c>
      <c r="K109">
        <v>11</v>
      </c>
      <c r="L109">
        <v>678.87999999999624</v>
      </c>
      <c r="M109">
        <v>1701.35801816904</v>
      </c>
      <c r="N109">
        <v>1</v>
      </c>
      <c r="O109">
        <v>678.88</v>
      </c>
    </row>
    <row r="110" spans="1:15" x14ac:dyDescent="0.25">
      <c r="A110">
        <v>30</v>
      </c>
      <c r="B110" t="s">
        <v>9</v>
      </c>
      <c r="C110" s="1">
        <v>59131</v>
      </c>
      <c r="D110" s="1" t="s">
        <v>45</v>
      </c>
      <c r="E110">
        <v>43.331879999999998</v>
      </c>
      <c r="F110">
        <v>11.32122</v>
      </c>
      <c r="G110" s="1">
        <v>59157</v>
      </c>
      <c r="H110" s="1" t="s">
        <v>45</v>
      </c>
      <c r="I110">
        <v>43.29034</v>
      </c>
      <c r="J110">
        <v>11.33822</v>
      </c>
      <c r="K110">
        <v>20</v>
      </c>
      <c r="L110">
        <v>1303.42</v>
      </c>
      <c r="M110">
        <v>4.8610229090543999</v>
      </c>
      <c r="N110">
        <v>2</v>
      </c>
      <c r="O110">
        <v>1303.42</v>
      </c>
    </row>
    <row r="111" spans="1:15" x14ac:dyDescent="0.25">
      <c r="A111">
        <v>30</v>
      </c>
      <c r="B111" t="s">
        <v>9</v>
      </c>
      <c r="C111" s="1">
        <v>59157</v>
      </c>
      <c r="D111" s="1" t="s">
        <v>45</v>
      </c>
      <c r="E111">
        <v>43.29034</v>
      </c>
      <c r="F111">
        <v>11.33822</v>
      </c>
      <c r="G111" s="1">
        <v>59131</v>
      </c>
      <c r="H111" s="1" t="s">
        <v>45</v>
      </c>
      <c r="I111">
        <v>43.331879999999998</v>
      </c>
      <c r="J111">
        <v>11.32122</v>
      </c>
      <c r="K111">
        <v>7</v>
      </c>
      <c r="L111">
        <v>408.4</v>
      </c>
      <c r="M111">
        <v>2187.4603090744799</v>
      </c>
      <c r="N111">
        <v>1</v>
      </c>
      <c r="O111">
        <v>408.4</v>
      </c>
    </row>
    <row r="112" spans="1:15" x14ac:dyDescent="0.25">
      <c r="A112">
        <v>30</v>
      </c>
      <c r="B112" t="s">
        <v>9</v>
      </c>
      <c r="C112" s="1">
        <v>77343</v>
      </c>
      <c r="D112" s="1" t="s">
        <v>43</v>
      </c>
      <c r="E112">
        <v>42.812559999999998</v>
      </c>
      <c r="F112">
        <v>10.31758</v>
      </c>
      <c r="G112" s="1">
        <v>32095</v>
      </c>
      <c r="H112" s="1" t="s">
        <v>43</v>
      </c>
      <c r="I112">
        <v>42.810519999999997</v>
      </c>
      <c r="J112">
        <v>10.30799</v>
      </c>
      <c r="K112">
        <v>3</v>
      </c>
      <c r="L112">
        <v>273.7</v>
      </c>
      <c r="M112">
        <v>291.661374543264</v>
      </c>
      <c r="N112">
        <v>1</v>
      </c>
      <c r="O112">
        <v>273.7</v>
      </c>
    </row>
    <row r="113" spans="1:15" x14ac:dyDescent="0.25">
      <c r="A113">
        <v>30</v>
      </c>
      <c r="B113" t="s">
        <v>9</v>
      </c>
      <c r="C113" s="1">
        <v>85210</v>
      </c>
      <c r="D113" s="1" t="s">
        <v>49</v>
      </c>
      <c r="E113">
        <v>43.928640000000001</v>
      </c>
      <c r="F113">
        <v>10.9284</v>
      </c>
      <c r="G113" s="1">
        <v>77334</v>
      </c>
      <c r="H113" s="1" t="s">
        <v>49</v>
      </c>
      <c r="I113">
        <v>43.939680000000003</v>
      </c>
      <c r="J113">
        <v>10.943490000000001</v>
      </c>
      <c r="K113">
        <v>1</v>
      </c>
      <c r="L113">
        <v>37</v>
      </c>
      <c r="M113">
        <v>850.67900908451998</v>
      </c>
      <c r="N113">
        <v>1</v>
      </c>
      <c r="O113">
        <v>37</v>
      </c>
    </row>
    <row r="114" spans="1:15" x14ac:dyDescent="0.25">
      <c r="A114">
        <v>30</v>
      </c>
      <c r="B114" t="s">
        <v>9</v>
      </c>
      <c r="C114" s="1">
        <v>92197</v>
      </c>
      <c r="D114" s="1" t="s">
        <v>53</v>
      </c>
      <c r="E114">
        <v>42.570590000000003</v>
      </c>
      <c r="F114">
        <v>12.632300000000001</v>
      </c>
      <c r="G114" s="1">
        <v>92198</v>
      </c>
      <c r="H114" s="1" t="s">
        <v>48</v>
      </c>
      <c r="I114">
        <v>42.529159999999997</v>
      </c>
      <c r="J114">
        <v>12.51361</v>
      </c>
      <c r="K114">
        <v>13</v>
      </c>
      <c r="L114">
        <v>237</v>
      </c>
      <c r="M114">
        <v>3451.3262654286241</v>
      </c>
      <c r="N114">
        <v>1</v>
      </c>
      <c r="O114">
        <v>237</v>
      </c>
    </row>
    <row r="115" spans="1:15" x14ac:dyDescent="0.25">
      <c r="A115">
        <v>50</v>
      </c>
      <c r="B115" t="s">
        <v>7</v>
      </c>
      <c r="C115" s="1">
        <v>25290</v>
      </c>
      <c r="D115" s="1" t="s">
        <v>32</v>
      </c>
      <c r="E115">
        <v>43.81803</v>
      </c>
      <c r="F115">
        <v>11.211550000000001</v>
      </c>
      <c r="G115" s="1">
        <v>25239</v>
      </c>
      <c r="H115" s="1" t="s">
        <v>31</v>
      </c>
      <c r="I115">
        <v>43.77281</v>
      </c>
      <c r="J115">
        <v>11.29452</v>
      </c>
      <c r="K115">
        <v>128.99999999993969</v>
      </c>
      <c r="L115">
        <v>4972.7137247148275</v>
      </c>
      <c r="M115">
        <v>14583.0687271632</v>
      </c>
      <c r="N115">
        <v>4</v>
      </c>
      <c r="O115">
        <v>4470.8</v>
      </c>
    </row>
    <row r="116" spans="1:15" x14ac:dyDescent="0.25">
      <c r="A116">
        <v>50</v>
      </c>
      <c r="B116" t="s">
        <v>7</v>
      </c>
      <c r="C116" s="1">
        <v>25290</v>
      </c>
      <c r="D116" s="1" t="s">
        <v>32</v>
      </c>
      <c r="E116">
        <v>43.81803</v>
      </c>
      <c r="F116">
        <v>11.211550000000001</v>
      </c>
      <c r="G116" s="1">
        <v>25398</v>
      </c>
      <c r="H116" s="1" t="s">
        <v>31</v>
      </c>
      <c r="I116">
        <v>43.769460000000002</v>
      </c>
      <c r="J116">
        <v>11.19172</v>
      </c>
      <c r="K116">
        <v>35.000000000270333</v>
      </c>
      <c r="L116">
        <v>2019.72</v>
      </c>
      <c r="M116">
        <v>11182.78320227965</v>
      </c>
      <c r="N116">
        <v>4</v>
      </c>
      <c r="O116">
        <v>2019.72</v>
      </c>
    </row>
    <row r="117" spans="1:15" x14ac:dyDescent="0.25">
      <c r="A117">
        <v>50</v>
      </c>
      <c r="B117" t="s">
        <v>7</v>
      </c>
      <c r="C117" s="1">
        <v>25290</v>
      </c>
      <c r="D117" s="1" t="s">
        <v>32</v>
      </c>
      <c r="E117">
        <v>43.81803</v>
      </c>
      <c r="F117">
        <v>11.211550000000001</v>
      </c>
      <c r="G117" s="1">
        <v>25400</v>
      </c>
      <c r="H117" s="1" t="s">
        <v>31</v>
      </c>
      <c r="I117">
        <v>43.798690000000001</v>
      </c>
      <c r="J117">
        <v>11.20762</v>
      </c>
      <c r="K117">
        <v>72.000000000139579</v>
      </c>
      <c r="L117">
        <v>6187.3993120573396</v>
      </c>
      <c r="M117">
        <v>8871.3668090242791</v>
      </c>
      <c r="N117">
        <v>6</v>
      </c>
      <c r="O117">
        <v>5900.96</v>
      </c>
    </row>
    <row r="118" spans="1:15" x14ac:dyDescent="0.25">
      <c r="A118">
        <v>50</v>
      </c>
      <c r="B118" t="s">
        <v>7</v>
      </c>
      <c r="C118" s="1">
        <v>25290</v>
      </c>
      <c r="D118" s="1" t="s">
        <v>32</v>
      </c>
      <c r="E118">
        <v>43.81803</v>
      </c>
      <c r="F118">
        <v>11.211550000000001</v>
      </c>
      <c r="G118" s="1">
        <v>25401</v>
      </c>
      <c r="H118" s="1" t="s">
        <v>36</v>
      </c>
      <c r="I118">
        <v>43.87838</v>
      </c>
      <c r="J118">
        <v>11.103210000000001</v>
      </c>
      <c r="K118">
        <v>37.999998776144849</v>
      </c>
      <c r="L118">
        <v>684.36808127917493</v>
      </c>
      <c r="M118">
        <v>7024.1781035836084</v>
      </c>
      <c r="N118">
        <v>2</v>
      </c>
      <c r="O118">
        <v>472.6</v>
      </c>
    </row>
    <row r="119" spans="1:15" x14ac:dyDescent="0.25">
      <c r="A119">
        <v>50</v>
      </c>
      <c r="B119" t="s">
        <v>7</v>
      </c>
      <c r="C119" s="1">
        <v>25398</v>
      </c>
      <c r="D119" s="1" t="s">
        <v>31</v>
      </c>
      <c r="E119">
        <v>43.769460000000002</v>
      </c>
      <c r="F119">
        <v>11.19172</v>
      </c>
      <c r="G119" s="1">
        <v>25239</v>
      </c>
      <c r="H119" s="1" t="s">
        <v>31</v>
      </c>
      <c r="I119">
        <v>43.77281</v>
      </c>
      <c r="J119">
        <v>11.29452</v>
      </c>
      <c r="K119">
        <v>4</v>
      </c>
      <c r="L119">
        <v>134</v>
      </c>
      <c r="M119">
        <v>2916.6137454326399</v>
      </c>
      <c r="N119">
        <v>1</v>
      </c>
      <c r="O119">
        <v>134</v>
      </c>
    </row>
    <row r="120" spans="1:15" x14ac:dyDescent="0.25">
      <c r="A120">
        <v>50</v>
      </c>
      <c r="B120" t="s">
        <v>7</v>
      </c>
      <c r="C120" s="1">
        <v>25398</v>
      </c>
      <c r="D120" s="1" t="s">
        <v>31</v>
      </c>
      <c r="E120">
        <v>43.769460000000002</v>
      </c>
      <c r="F120">
        <v>11.19172</v>
      </c>
      <c r="G120" s="1">
        <v>25290</v>
      </c>
      <c r="H120" s="1" t="s">
        <v>32</v>
      </c>
      <c r="I120">
        <v>43.81803</v>
      </c>
      <c r="J120">
        <v>11.211550000000001</v>
      </c>
      <c r="K120">
        <v>37.000001049458433</v>
      </c>
      <c r="L120">
        <v>38</v>
      </c>
      <c r="M120">
        <v>4377.3511296034876</v>
      </c>
      <c r="N120">
        <v>1</v>
      </c>
      <c r="O120">
        <v>38</v>
      </c>
    </row>
    <row r="121" spans="1:15" x14ac:dyDescent="0.25">
      <c r="A121">
        <v>50</v>
      </c>
      <c r="B121" t="s">
        <v>7</v>
      </c>
      <c r="C121" s="1">
        <v>25400</v>
      </c>
      <c r="D121" s="1" t="s">
        <v>31</v>
      </c>
      <c r="E121">
        <v>43.798690000000001</v>
      </c>
      <c r="F121">
        <v>11.20762</v>
      </c>
      <c r="G121" s="1">
        <v>25290</v>
      </c>
      <c r="H121" s="1" t="s">
        <v>32</v>
      </c>
      <c r="I121">
        <v>43.81803</v>
      </c>
      <c r="J121">
        <v>11.211550000000001</v>
      </c>
      <c r="K121">
        <v>58.999999999682878</v>
      </c>
      <c r="L121">
        <v>159.919999808977</v>
      </c>
      <c r="M121">
        <v>2673.5625999799199</v>
      </c>
      <c r="N121">
        <v>2</v>
      </c>
      <c r="O121">
        <v>159.91999999999999</v>
      </c>
    </row>
    <row r="122" spans="1:15" x14ac:dyDescent="0.25">
      <c r="A122">
        <v>50</v>
      </c>
      <c r="B122" t="s">
        <v>7</v>
      </c>
      <c r="C122" s="1">
        <v>25400</v>
      </c>
      <c r="D122" s="1" t="s">
        <v>31</v>
      </c>
      <c r="E122">
        <v>43.798690000000001</v>
      </c>
      <c r="F122">
        <v>11.20762</v>
      </c>
      <c r="G122" s="1">
        <v>25398</v>
      </c>
      <c r="H122" s="1" t="s">
        <v>31</v>
      </c>
      <c r="I122">
        <v>43.769460000000002</v>
      </c>
      <c r="J122">
        <v>11.19172</v>
      </c>
      <c r="K122">
        <v>13</v>
      </c>
      <c r="L122">
        <v>961.4</v>
      </c>
      <c r="M122">
        <v>2989.529089068456</v>
      </c>
      <c r="N122">
        <v>2</v>
      </c>
      <c r="O122">
        <v>961.4</v>
      </c>
    </row>
    <row r="123" spans="1:15" x14ac:dyDescent="0.25">
      <c r="A123">
        <v>50</v>
      </c>
      <c r="B123" t="s">
        <v>7</v>
      </c>
      <c r="C123" s="1">
        <v>25401</v>
      </c>
      <c r="D123" s="1" t="s">
        <v>36</v>
      </c>
      <c r="E123">
        <v>43.87838</v>
      </c>
      <c r="F123">
        <v>11.103210000000001</v>
      </c>
      <c r="G123" s="1">
        <v>25290</v>
      </c>
      <c r="H123" s="1" t="s">
        <v>32</v>
      </c>
      <c r="I123">
        <v>43.81803</v>
      </c>
      <c r="J123">
        <v>11.211550000000001</v>
      </c>
      <c r="K123">
        <v>18</v>
      </c>
      <c r="L123">
        <v>58.8</v>
      </c>
      <c r="M123">
        <v>3767.2927545171601</v>
      </c>
      <c r="N123">
        <v>1</v>
      </c>
      <c r="O123">
        <v>58.8</v>
      </c>
    </row>
    <row r="124" spans="1:15" x14ac:dyDescent="0.25">
      <c r="A124">
        <v>50</v>
      </c>
      <c r="B124" t="s">
        <v>7</v>
      </c>
      <c r="C124" s="1">
        <v>25401</v>
      </c>
      <c r="D124" s="1" t="s">
        <v>36</v>
      </c>
      <c r="E124">
        <v>43.87838</v>
      </c>
      <c r="F124">
        <v>11.103210000000001</v>
      </c>
      <c r="G124" s="1">
        <v>25433</v>
      </c>
      <c r="H124" s="1" t="s">
        <v>44</v>
      </c>
      <c r="I124">
        <v>43.923850000000002</v>
      </c>
      <c r="J124">
        <v>11.03511</v>
      </c>
      <c r="K124">
        <v>18</v>
      </c>
      <c r="L124">
        <v>792</v>
      </c>
      <c r="M124">
        <v>2916.6137454326399</v>
      </c>
      <c r="N124">
        <v>1</v>
      </c>
      <c r="O124">
        <v>792</v>
      </c>
    </row>
    <row r="125" spans="1:15" x14ac:dyDescent="0.25">
      <c r="A125">
        <v>50</v>
      </c>
      <c r="B125" t="s">
        <v>7</v>
      </c>
      <c r="C125" s="1">
        <v>25421</v>
      </c>
      <c r="D125" s="1" t="s">
        <v>41</v>
      </c>
      <c r="E125">
        <v>43.619419999999998</v>
      </c>
      <c r="F125">
        <v>11.47508</v>
      </c>
      <c r="G125" s="1">
        <v>4142</v>
      </c>
      <c r="H125" s="1" t="s">
        <v>42</v>
      </c>
      <c r="I125">
        <v>43.529310000000002</v>
      </c>
      <c r="J125">
        <v>11.56737</v>
      </c>
      <c r="K125">
        <v>2</v>
      </c>
      <c r="L125">
        <v>12.636474690806921</v>
      </c>
      <c r="M125">
        <v>0</v>
      </c>
      <c r="N125">
        <v>0</v>
      </c>
      <c r="O125">
        <v>0</v>
      </c>
    </row>
    <row r="126" spans="1:15" x14ac:dyDescent="0.25">
      <c r="A126">
        <v>50</v>
      </c>
      <c r="B126" t="s">
        <v>7</v>
      </c>
      <c r="C126" s="1">
        <v>25421</v>
      </c>
      <c r="D126" s="1" t="s">
        <v>41</v>
      </c>
      <c r="E126">
        <v>43.619419999999998</v>
      </c>
      <c r="F126">
        <v>11.47508</v>
      </c>
      <c r="G126" s="1">
        <v>4144</v>
      </c>
      <c r="H126" s="1" t="s">
        <v>38</v>
      </c>
      <c r="I126">
        <v>43.568049999999999</v>
      </c>
      <c r="J126">
        <v>11.529260000000001</v>
      </c>
      <c r="K126">
        <v>4</v>
      </c>
      <c r="L126">
        <v>190.27484520576289</v>
      </c>
      <c r="M126">
        <v>0</v>
      </c>
      <c r="N126">
        <v>0</v>
      </c>
      <c r="O126">
        <v>0</v>
      </c>
    </row>
    <row r="127" spans="1:15" x14ac:dyDescent="0.25">
      <c r="A127">
        <v>50</v>
      </c>
      <c r="B127" t="s">
        <v>7</v>
      </c>
      <c r="C127" s="1">
        <v>33212</v>
      </c>
      <c r="D127" s="1" t="s">
        <v>46</v>
      </c>
      <c r="E127">
        <v>43.844110000000001</v>
      </c>
      <c r="F127">
        <v>10.525460000000001</v>
      </c>
      <c r="G127" s="1">
        <v>77150</v>
      </c>
      <c r="H127" s="1" t="s">
        <v>46</v>
      </c>
      <c r="I127">
        <v>43.860230000000001</v>
      </c>
      <c r="J127">
        <v>10.51596</v>
      </c>
      <c r="K127">
        <v>2</v>
      </c>
      <c r="L127">
        <v>153</v>
      </c>
      <c r="M127">
        <v>1069.4250399919681</v>
      </c>
      <c r="N127">
        <v>1</v>
      </c>
      <c r="O127">
        <v>153</v>
      </c>
    </row>
    <row r="128" spans="1:15" x14ac:dyDescent="0.25">
      <c r="A128">
        <v>50</v>
      </c>
      <c r="B128" t="s">
        <v>7</v>
      </c>
      <c r="C128" s="1">
        <v>33214</v>
      </c>
      <c r="D128" s="1" t="s">
        <v>51</v>
      </c>
      <c r="E128">
        <v>43.868270000000003</v>
      </c>
      <c r="F128">
        <v>10.252879999999999</v>
      </c>
      <c r="G128" s="1">
        <v>33220</v>
      </c>
      <c r="H128" s="1" t="s">
        <v>39</v>
      </c>
      <c r="I128">
        <v>43.894159999999999</v>
      </c>
      <c r="J128">
        <v>10.22714</v>
      </c>
      <c r="K128">
        <v>3</v>
      </c>
      <c r="L128">
        <v>210.7</v>
      </c>
      <c r="M128">
        <v>4642.2768781469513</v>
      </c>
      <c r="N128">
        <v>4</v>
      </c>
      <c r="O128">
        <v>210.7</v>
      </c>
    </row>
    <row r="129" spans="1:15" x14ac:dyDescent="0.25">
      <c r="A129">
        <v>50</v>
      </c>
      <c r="B129" t="s">
        <v>7</v>
      </c>
      <c r="C129" s="1">
        <v>33220</v>
      </c>
      <c r="D129" s="1" t="s">
        <v>39</v>
      </c>
      <c r="E129">
        <v>43.894159999999999</v>
      </c>
      <c r="F129">
        <v>10.22714</v>
      </c>
      <c r="G129" s="1">
        <v>33221</v>
      </c>
      <c r="H129" s="1" t="s">
        <v>40</v>
      </c>
      <c r="I129">
        <v>43.956339999999997</v>
      </c>
      <c r="J129">
        <v>10.22996</v>
      </c>
      <c r="K129">
        <v>4.9999992242045597</v>
      </c>
      <c r="L129">
        <v>168.3</v>
      </c>
      <c r="M129">
        <v>10164.398902832751</v>
      </c>
      <c r="N129">
        <v>4</v>
      </c>
      <c r="O129">
        <v>168.3</v>
      </c>
    </row>
    <row r="130" spans="1:15" x14ac:dyDescent="0.25">
      <c r="A130">
        <v>50</v>
      </c>
      <c r="B130" t="s">
        <v>7</v>
      </c>
      <c r="C130" s="1">
        <v>4144</v>
      </c>
      <c r="D130" s="1" t="s">
        <v>38</v>
      </c>
      <c r="E130">
        <v>43.568049999999999</v>
      </c>
      <c r="F130">
        <v>11.529260000000001</v>
      </c>
      <c r="G130" s="1">
        <v>25421</v>
      </c>
      <c r="H130" s="1" t="s">
        <v>41</v>
      </c>
      <c r="I130">
        <v>43.619419999999998</v>
      </c>
      <c r="J130">
        <v>11.47508</v>
      </c>
      <c r="K130">
        <v>2</v>
      </c>
      <c r="L130">
        <v>82.6</v>
      </c>
      <c r="M130">
        <v>6691.1980343133819</v>
      </c>
      <c r="N130">
        <v>1</v>
      </c>
      <c r="O130">
        <v>82.6</v>
      </c>
    </row>
    <row r="131" spans="1:15" x14ac:dyDescent="0.25">
      <c r="A131">
        <v>50</v>
      </c>
      <c r="B131" t="s">
        <v>7</v>
      </c>
      <c r="C131" s="1">
        <v>4144</v>
      </c>
      <c r="D131" s="1" t="s">
        <v>38</v>
      </c>
      <c r="E131">
        <v>43.568049999999999</v>
      </c>
      <c r="F131">
        <v>11.529260000000001</v>
      </c>
      <c r="G131" s="1">
        <v>4142</v>
      </c>
      <c r="H131" s="1" t="s">
        <v>42</v>
      </c>
      <c r="I131">
        <v>43.529310000000002</v>
      </c>
      <c r="J131">
        <v>11.56737</v>
      </c>
      <c r="K131">
        <v>4</v>
      </c>
      <c r="L131">
        <v>244.6</v>
      </c>
      <c r="M131">
        <v>1458.30687271632</v>
      </c>
      <c r="N131">
        <v>1</v>
      </c>
      <c r="O131">
        <v>244.6</v>
      </c>
    </row>
    <row r="132" spans="1:15" x14ac:dyDescent="0.25">
      <c r="A132">
        <v>50</v>
      </c>
      <c r="B132" t="s">
        <v>7</v>
      </c>
      <c r="C132" s="1">
        <v>46445</v>
      </c>
      <c r="D132" s="1" t="s">
        <v>35</v>
      </c>
      <c r="E132">
        <v>43.10801</v>
      </c>
      <c r="F132">
        <v>12.377940000000001</v>
      </c>
      <c r="G132" s="1">
        <v>46468</v>
      </c>
      <c r="H132" s="1" t="s">
        <v>33</v>
      </c>
      <c r="I132">
        <v>43.116489999999999</v>
      </c>
      <c r="J132">
        <v>12.45126</v>
      </c>
      <c r="K132">
        <v>6.0000009705034412</v>
      </c>
      <c r="L132">
        <v>339.7889477584767</v>
      </c>
      <c r="M132">
        <v>7194.3139054005114</v>
      </c>
      <c r="N132">
        <v>2</v>
      </c>
      <c r="O132">
        <v>333.4</v>
      </c>
    </row>
    <row r="133" spans="1:15" x14ac:dyDescent="0.25">
      <c r="A133">
        <v>50</v>
      </c>
      <c r="B133" t="s">
        <v>7</v>
      </c>
      <c r="C133" s="1">
        <v>46445</v>
      </c>
      <c r="D133" s="1" t="s">
        <v>35</v>
      </c>
      <c r="E133">
        <v>43.10801</v>
      </c>
      <c r="F133">
        <v>12.377940000000001</v>
      </c>
      <c r="G133" s="1">
        <v>46471</v>
      </c>
      <c r="H133" s="1" t="s">
        <v>34</v>
      </c>
      <c r="I133">
        <v>43.10031</v>
      </c>
      <c r="J133">
        <v>12.318519999999999</v>
      </c>
      <c r="K133">
        <v>8.0000000789491672</v>
      </c>
      <c r="L133">
        <v>377</v>
      </c>
      <c r="M133">
        <v>5420.0405435956563</v>
      </c>
      <c r="N133">
        <v>3</v>
      </c>
      <c r="O133">
        <v>377</v>
      </c>
    </row>
    <row r="134" spans="1:15" x14ac:dyDescent="0.25">
      <c r="A134">
        <v>50</v>
      </c>
      <c r="B134" t="s">
        <v>7</v>
      </c>
      <c r="C134" s="1">
        <v>46471</v>
      </c>
      <c r="D134" s="1" t="s">
        <v>34</v>
      </c>
      <c r="E134">
        <v>43.10031</v>
      </c>
      <c r="F134">
        <v>12.318519999999999</v>
      </c>
      <c r="G134" s="1">
        <v>46445</v>
      </c>
      <c r="H134" s="1" t="s">
        <v>35</v>
      </c>
      <c r="I134">
        <v>43.10801</v>
      </c>
      <c r="J134">
        <v>12.377940000000001</v>
      </c>
      <c r="K134">
        <v>10.000000252877699</v>
      </c>
      <c r="L134">
        <v>654.17668722299879</v>
      </c>
      <c r="M134">
        <v>0</v>
      </c>
      <c r="N134">
        <v>0</v>
      </c>
      <c r="O134">
        <v>0</v>
      </c>
    </row>
    <row r="135" spans="1:15" x14ac:dyDescent="0.25">
      <c r="A135">
        <v>50</v>
      </c>
      <c r="B135" t="s">
        <v>7</v>
      </c>
      <c r="C135" s="1">
        <v>59131</v>
      </c>
      <c r="D135" s="1" t="s">
        <v>45</v>
      </c>
      <c r="E135">
        <v>43.331879999999998</v>
      </c>
      <c r="F135">
        <v>11.32122</v>
      </c>
      <c r="G135" s="1">
        <v>59157</v>
      </c>
      <c r="H135" s="1" t="s">
        <v>45</v>
      </c>
      <c r="I135">
        <v>43.29034</v>
      </c>
      <c r="J135">
        <v>11.33822</v>
      </c>
      <c r="K135">
        <v>20</v>
      </c>
      <c r="L135">
        <v>1303.42</v>
      </c>
      <c r="M135">
        <v>4.8610229090543999</v>
      </c>
      <c r="N135">
        <v>2</v>
      </c>
      <c r="O135">
        <v>1303.42</v>
      </c>
    </row>
    <row r="136" spans="1:15" x14ac:dyDescent="0.25">
      <c r="A136">
        <v>50</v>
      </c>
      <c r="B136" t="s">
        <v>7</v>
      </c>
      <c r="C136" s="1">
        <v>59157</v>
      </c>
      <c r="D136" s="1" t="s">
        <v>45</v>
      </c>
      <c r="E136">
        <v>43.29034</v>
      </c>
      <c r="F136">
        <v>11.33822</v>
      </c>
      <c r="G136" s="1">
        <v>59131</v>
      </c>
      <c r="H136" s="1" t="s">
        <v>45</v>
      </c>
      <c r="I136">
        <v>43.331879999999998</v>
      </c>
      <c r="J136">
        <v>11.32122</v>
      </c>
      <c r="K136">
        <v>6</v>
      </c>
      <c r="L136">
        <v>396.24562485195668</v>
      </c>
      <c r="M136">
        <v>0</v>
      </c>
      <c r="N136">
        <v>0</v>
      </c>
      <c r="O136">
        <v>0</v>
      </c>
    </row>
    <row r="137" spans="1:15" x14ac:dyDescent="0.25">
      <c r="A137">
        <v>50</v>
      </c>
      <c r="B137" t="s">
        <v>7</v>
      </c>
      <c r="C137" s="1">
        <v>77343</v>
      </c>
      <c r="D137" s="1" t="s">
        <v>43</v>
      </c>
      <c r="E137">
        <v>42.812559999999998</v>
      </c>
      <c r="F137">
        <v>10.31758</v>
      </c>
      <c r="G137" s="1">
        <v>32095</v>
      </c>
      <c r="H137" s="1" t="s">
        <v>43</v>
      </c>
      <c r="I137">
        <v>42.810519999999997</v>
      </c>
      <c r="J137">
        <v>10.30799</v>
      </c>
      <c r="K137">
        <v>3</v>
      </c>
      <c r="L137">
        <v>273.7</v>
      </c>
      <c r="M137">
        <v>291.661374543264</v>
      </c>
      <c r="N137">
        <v>1</v>
      </c>
      <c r="O137">
        <v>273.7</v>
      </c>
    </row>
    <row r="138" spans="1:15" x14ac:dyDescent="0.25">
      <c r="A138">
        <v>50</v>
      </c>
      <c r="B138" t="s">
        <v>7</v>
      </c>
      <c r="C138" s="1">
        <v>92197</v>
      </c>
      <c r="D138" s="1" t="s">
        <v>53</v>
      </c>
      <c r="E138">
        <v>42.570590000000003</v>
      </c>
      <c r="F138">
        <v>12.632300000000001</v>
      </c>
      <c r="G138" s="1">
        <v>92198</v>
      </c>
      <c r="H138" s="1" t="s">
        <v>48</v>
      </c>
      <c r="I138">
        <v>42.529159999999997</v>
      </c>
      <c r="J138">
        <v>12.51361</v>
      </c>
      <c r="K138">
        <v>21</v>
      </c>
      <c r="L138">
        <v>414.07338814335623</v>
      </c>
      <c r="M138">
        <v>3767.2927545171601</v>
      </c>
      <c r="N138">
        <v>1</v>
      </c>
      <c r="O138">
        <v>238</v>
      </c>
    </row>
    <row r="139" spans="1:15" x14ac:dyDescent="0.25">
      <c r="A139">
        <v>50</v>
      </c>
      <c r="B139" t="s">
        <v>8</v>
      </c>
      <c r="C139" s="1">
        <v>25290</v>
      </c>
      <c r="D139" s="1" t="s">
        <v>32</v>
      </c>
      <c r="E139">
        <v>43.81803</v>
      </c>
      <c r="F139">
        <v>11.211550000000001</v>
      </c>
      <c r="G139" s="1">
        <v>25239</v>
      </c>
      <c r="H139" s="1" t="s">
        <v>31</v>
      </c>
      <c r="I139">
        <v>43.77281</v>
      </c>
      <c r="J139">
        <v>11.29452</v>
      </c>
      <c r="K139">
        <v>96</v>
      </c>
      <c r="L139">
        <v>3635.5</v>
      </c>
      <c r="M139">
        <v>14583.0687271632</v>
      </c>
      <c r="N139">
        <v>4</v>
      </c>
      <c r="O139">
        <v>3635.5</v>
      </c>
    </row>
    <row r="140" spans="1:15" x14ac:dyDescent="0.25">
      <c r="A140">
        <v>50</v>
      </c>
      <c r="B140" t="s">
        <v>8</v>
      </c>
      <c r="C140" s="1">
        <v>25290</v>
      </c>
      <c r="D140" s="1" t="s">
        <v>32</v>
      </c>
      <c r="E140">
        <v>43.81803</v>
      </c>
      <c r="F140">
        <v>11.211550000000001</v>
      </c>
      <c r="G140" s="1">
        <v>25398</v>
      </c>
      <c r="H140" s="1" t="s">
        <v>31</v>
      </c>
      <c r="I140">
        <v>43.769460000000002</v>
      </c>
      <c r="J140">
        <v>11.19172</v>
      </c>
      <c r="K140">
        <v>36</v>
      </c>
      <c r="L140">
        <v>2019.72</v>
      </c>
      <c r="M140">
        <v>11182.78320227965</v>
      </c>
      <c r="N140">
        <v>4</v>
      </c>
      <c r="O140">
        <v>2019.72</v>
      </c>
    </row>
    <row r="141" spans="1:15" x14ac:dyDescent="0.25">
      <c r="A141">
        <v>50</v>
      </c>
      <c r="B141" t="s">
        <v>8</v>
      </c>
      <c r="C141" s="1">
        <v>25290</v>
      </c>
      <c r="D141" s="1" t="s">
        <v>32</v>
      </c>
      <c r="E141">
        <v>43.81803</v>
      </c>
      <c r="F141">
        <v>11.211550000000001</v>
      </c>
      <c r="G141" s="1">
        <v>25400</v>
      </c>
      <c r="H141" s="1" t="s">
        <v>31</v>
      </c>
      <c r="I141">
        <v>43.798690000000001</v>
      </c>
      <c r="J141">
        <v>11.20762</v>
      </c>
      <c r="K141">
        <v>20</v>
      </c>
      <c r="L141">
        <v>1628.6999999984871</v>
      </c>
      <c r="M141">
        <v>6076.2786363179994</v>
      </c>
      <c r="N141">
        <v>4</v>
      </c>
      <c r="O141">
        <v>1628.7</v>
      </c>
    </row>
    <row r="142" spans="1:15" x14ac:dyDescent="0.25">
      <c r="A142">
        <v>50</v>
      </c>
      <c r="B142" t="s">
        <v>8</v>
      </c>
      <c r="C142" s="1">
        <v>25290</v>
      </c>
      <c r="D142" s="1" t="s">
        <v>32</v>
      </c>
      <c r="E142">
        <v>43.81803</v>
      </c>
      <c r="F142">
        <v>11.211550000000001</v>
      </c>
      <c r="G142" s="1">
        <v>25401</v>
      </c>
      <c r="H142" s="1" t="s">
        <v>36</v>
      </c>
      <c r="I142">
        <v>43.87838</v>
      </c>
      <c r="J142">
        <v>11.103210000000001</v>
      </c>
      <c r="K142">
        <v>44</v>
      </c>
      <c r="L142">
        <v>792.42622489733185</v>
      </c>
      <c r="M142">
        <v>10912.99643082713</v>
      </c>
      <c r="N142">
        <v>3</v>
      </c>
      <c r="O142">
        <v>779.59999999999991</v>
      </c>
    </row>
    <row r="143" spans="1:15" x14ac:dyDescent="0.25">
      <c r="A143">
        <v>50</v>
      </c>
      <c r="B143" t="s">
        <v>8</v>
      </c>
      <c r="C143" s="1">
        <v>25290</v>
      </c>
      <c r="D143" s="1" t="s">
        <v>32</v>
      </c>
      <c r="E143">
        <v>43.81803</v>
      </c>
      <c r="F143">
        <v>11.211550000000001</v>
      </c>
      <c r="G143" s="1">
        <v>25417</v>
      </c>
      <c r="H143" s="1" t="s">
        <v>37</v>
      </c>
      <c r="I143">
        <v>43.754040000000003</v>
      </c>
      <c r="J143">
        <v>11.32128</v>
      </c>
      <c r="K143">
        <v>64</v>
      </c>
      <c r="L143">
        <v>973.3</v>
      </c>
      <c r="M143">
        <v>14194.18689443885</v>
      </c>
      <c r="N143">
        <v>2</v>
      </c>
      <c r="O143">
        <v>973.3</v>
      </c>
    </row>
    <row r="144" spans="1:15" x14ac:dyDescent="0.25">
      <c r="A144">
        <v>50</v>
      </c>
      <c r="B144" t="s">
        <v>8</v>
      </c>
      <c r="C144" s="1">
        <v>25398</v>
      </c>
      <c r="D144" s="1" t="s">
        <v>31</v>
      </c>
      <c r="E144">
        <v>43.769460000000002</v>
      </c>
      <c r="F144">
        <v>11.19172</v>
      </c>
      <c r="G144" s="1">
        <v>25239</v>
      </c>
      <c r="H144" s="1" t="s">
        <v>31</v>
      </c>
      <c r="I144">
        <v>43.77281</v>
      </c>
      <c r="J144">
        <v>11.29452</v>
      </c>
      <c r="K144">
        <v>4</v>
      </c>
      <c r="L144">
        <v>134</v>
      </c>
      <c r="M144">
        <v>2916.6137454326399</v>
      </c>
      <c r="N144">
        <v>1</v>
      </c>
      <c r="O144">
        <v>134</v>
      </c>
    </row>
    <row r="145" spans="1:15" x14ac:dyDescent="0.25">
      <c r="A145">
        <v>50</v>
      </c>
      <c r="B145" t="s">
        <v>8</v>
      </c>
      <c r="C145" s="1">
        <v>25398</v>
      </c>
      <c r="D145" s="1" t="s">
        <v>31</v>
      </c>
      <c r="E145">
        <v>43.769460000000002</v>
      </c>
      <c r="F145">
        <v>11.19172</v>
      </c>
      <c r="G145" s="1">
        <v>25290</v>
      </c>
      <c r="H145" s="1" t="s">
        <v>32</v>
      </c>
      <c r="I145">
        <v>43.81803</v>
      </c>
      <c r="J145">
        <v>11.211550000000001</v>
      </c>
      <c r="K145">
        <v>41</v>
      </c>
      <c r="L145">
        <v>37.999999999527972</v>
      </c>
      <c r="M145">
        <v>4377.3511296034876</v>
      </c>
      <c r="N145">
        <v>1</v>
      </c>
      <c r="O145">
        <v>38</v>
      </c>
    </row>
    <row r="146" spans="1:15" x14ac:dyDescent="0.25">
      <c r="A146">
        <v>50</v>
      </c>
      <c r="B146" t="s">
        <v>8</v>
      </c>
      <c r="C146" s="1">
        <v>25400</v>
      </c>
      <c r="D146" s="1" t="s">
        <v>31</v>
      </c>
      <c r="E146">
        <v>43.798690000000001</v>
      </c>
      <c r="F146">
        <v>11.20762</v>
      </c>
      <c r="G146" s="1">
        <v>25290</v>
      </c>
      <c r="H146" s="1" t="s">
        <v>32</v>
      </c>
      <c r="I146">
        <v>43.81803</v>
      </c>
      <c r="J146">
        <v>11.211550000000001</v>
      </c>
      <c r="K146">
        <v>7</v>
      </c>
      <c r="L146">
        <v>159.91999892993721</v>
      </c>
      <c r="M146">
        <v>2673.5625999799199</v>
      </c>
      <c r="N146">
        <v>2</v>
      </c>
      <c r="O146">
        <v>159.91999999999999</v>
      </c>
    </row>
    <row r="147" spans="1:15" x14ac:dyDescent="0.25">
      <c r="A147">
        <v>50</v>
      </c>
      <c r="B147" t="s">
        <v>8</v>
      </c>
      <c r="C147" s="1">
        <v>25400</v>
      </c>
      <c r="D147" s="1" t="s">
        <v>31</v>
      </c>
      <c r="E147">
        <v>43.798690000000001</v>
      </c>
      <c r="F147">
        <v>11.20762</v>
      </c>
      <c r="G147" s="1">
        <v>25398</v>
      </c>
      <c r="H147" s="1" t="s">
        <v>31</v>
      </c>
      <c r="I147">
        <v>43.769460000000002</v>
      </c>
      <c r="J147">
        <v>11.19172</v>
      </c>
      <c r="K147">
        <v>13</v>
      </c>
      <c r="L147">
        <v>961.39999925582208</v>
      </c>
      <c r="M147">
        <v>2989.529089068456</v>
      </c>
      <c r="N147">
        <v>2</v>
      </c>
      <c r="O147">
        <v>961.4</v>
      </c>
    </row>
    <row r="148" spans="1:15" x14ac:dyDescent="0.25">
      <c r="A148">
        <v>50</v>
      </c>
      <c r="B148" t="s">
        <v>8</v>
      </c>
      <c r="C148" s="1">
        <v>25401</v>
      </c>
      <c r="D148" s="1" t="s">
        <v>36</v>
      </c>
      <c r="E148">
        <v>43.87838</v>
      </c>
      <c r="F148">
        <v>11.103210000000001</v>
      </c>
      <c r="G148" s="1">
        <v>25290</v>
      </c>
      <c r="H148" s="1" t="s">
        <v>32</v>
      </c>
      <c r="I148">
        <v>43.81803</v>
      </c>
      <c r="J148">
        <v>11.211550000000001</v>
      </c>
      <c r="K148">
        <v>18</v>
      </c>
      <c r="L148">
        <v>58.799999990540343</v>
      </c>
      <c r="M148">
        <v>3767.2927545171601</v>
      </c>
      <c r="N148">
        <v>1</v>
      </c>
      <c r="O148">
        <v>58.8</v>
      </c>
    </row>
    <row r="149" spans="1:15" x14ac:dyDescent="0.25">
      <c r="A149">
        <v>50</v>
      </c>
      <c r="B149" t="s">
        <v>8</v>
      </c>
      <c r="C149" s="1">
        <v>25401</v>
      </c>
      <c r="D149" s="1" t="s">
        <v>36</v>
      </c>
      <c r="E149">
        <v>43.87838</v>
      </c>
      <c r="F149">
        <v>11.103210000000001</v>
      </c>
      <c r="G149" s="1">
        <v>25433</v>
      </c>
      <c r="H149" s="1" t="s">
        <v>44</v>
      </c>
      <c r="I149">
        <v>43.923850000000002</v>
      </c>
      <c r="J149">
        <v>11.03511</v>
      </c>
      <c r="K149">
        <v>18</v>
      </c>
      <c r="L149">
        <v>791.99999999807142</v>
      </c>
      <c r="M149">
        <v>2916.6137454326399</v>
      </c>
      <c r="N149">
        <v>1</v>
      </c>
      <c r="O149">
        <v>792</v>
      </c>
    </row>
    <row r="150" spans="1:15" x14ac:dyDescent="0.25">
      <c r="A150">
        <v>50</v>
      </c>
      <c r="B150" t="s">
        <v>8</v>
      </c>
      <c r="C150" s="1">
        <v>25421</v>
      </c>
      <c r="D150" s="1" t="s">
        <v>41</v>
      </c>
      <c r="E150">
        <v>43.619419999999998</v>
      </c>
      <c r="F150">
        <v>11.47508</v>
      </c>
      <c r="G150" s="1">
        <v>4144</v>
      </c>
      <c r="H150" s="1" t="s">
        <v>38</v>
      </c>
      <c r="I150">
        <v>43.568049999999999</v>
      </c>
      <c r="J150">
        <v>11.529260000000001</v>
      </c>
      <c r="K150">
        <v>5</v>
      </c>
      <c r="L150">
        <v>194.39999999993589</v>
      </c>
      <c r="M150">
        <v>2187.4603090744799</v>
      </c>
      <c r="N150">
        <v>1</v>
      </c>
      <c r="O150">
        <v>194.4</v>
      </c>
    </row>
    <row r="151" spans="1:15" x14ac:dyDescent="0.25">
      <c r="A151">
        <v>50</v>
      </c>
      <c r="B151" t="s">
        <v>8</v>
      </c>
      <c r="C151" s="1">
        <v>33212</v>
      </c>
      <c r="D151" s="1" t="s">
        <v>46</v>
      </c>
      <c r="E151">
        <v>43.844110000000001</v>
      </c>
      <c r="F151">
        <v>10.525460000000001</v>
      </c>
      <c r="G151" s="1">
        <v>77150</v>
      </c>
      <c r="H151" s="1" t="s">
        <v>46</v>
      </c>
      <c r="I151">
        <v>43.860230000000001</v>
      </c>
      <c r="J151">
        <v>10.51596</v>
      </c>
      <c r="K151">
        <v>2</v>
      </c>
      <c r="L151">
        <v>153</v>
      </c>
      <c r="M151">
        <v>1069.4250399919681</v>
      </c>
      <c r="N151">
        <v>1</v>
      </c>
      <c r="O151">
        <v>153</v>
      </c>
    </row>
    <row r="152" spans="1:15" x14ac:dyDescent="0.25">
      <c r="A152">
        <v>50</v>
      </c>
      <c r="B152" t="s">
        <v>8</v>
      </c>
      <c r="C152" s="1">
        <v>33214</v>
      </c>
      <c r="D152" s="1" t="s">
        <v>51</v>
      </c>
      <c r="E152">
        <v>43.868270000000003</v>
      </c>
      <c r="F152">
        <v>10.252879999999999</v>
      </c>
      <c r="G152" s="1">
        <v>33220</v>
      </c>
      <c r="H152" s="1" t="s">
        <v>39</v>
      </c>
      <c r="I152">
        <v>43.894159999999999</v>
      </c>
      <c r="J152">
        <v>10.22714</v>
      </c>
      <c r="K152">
        <v>3</v>
      </c>
      <c r="L152">
        <v>210.7</v>
      </c>
      <c r="M152">
        <v>4642.2768781469513</v>
      </c>
      <c r="N152">
        <v>4</v>
      </c>
      <c r="O152">
        <v>210.7</v>
      </c>
    </row>
    <row r="153" spans="1:15" x14ac:dyDescent="0.25">
      <c r="A153">
        <v>50</v>
      </c>
      <c r="B153" t="s">
        <v>8</v>
      </c>
      <c r="C153" s="1">
        <v>33218</v>
      </c>
      <c r="D153" s="1" t="s">
        <v>52</v>
      </c>
      <c r="E153">
        <v>44.033050000000003</v>
      </c>
      <c r="F153">
        <v>10.50367</v>
      </c>
      <c r="G153" s="1">
        <v>33219</v>
      </c>
      <c r="H153" s="1" t="s">
        <v>47</v>
      </c>
      <c r="I153">
        <v>44.110500000000002</v>
      </c>
      <c r="J153">
        <v>10.41159</v>
      </c>
      <c r="K153">
        <v>28</v>
      </c>
      <c r="L153">
        <v>358.5</v>
      </c>
      <c r="M153">
        <v>4131.8694726962403</v>
      </c>
      <c r="N153">
        <v>1</v>
      </c>
      <c r="O153">
        <v>358.5</v>
      </c>
    </row>
    <row r="154" spans="1:15" x14ac:dyDescent="0.25">
      <c r="A154">
        <v>50</v>
      </c>
      <c r="B154" t="s">
        <v>8</v>
      </c>
      <c r="C154" s="1">
        <v>33220</v>
      </c>
      <c r="D154" s="1" t="s">
        <v>39</v>
      </c>
      <c r="E154">
        <v>43.894159999999999</v>
      </c>
      <c r="F154">
        <v>10.22714</v>
      </c>
      <c r="G154" s="1">
        <v>33221</v>
      </c>
      <c r="H154" s="1" t="s">
        <v>40</v>
      </c>
      <c r="I154">
        <v>43.956339999999997</v>
      </c>
      <c r="J154">
        <v>10.22996</v>
      </c>
      <c r="K154">
        <v>5</v>
      </c>
      <c r="L154">
        <v>168.3</v>
      </c>
      <c r="M154">
        <v>10164.398902832751</v>
      </c>
      <c r="N154">
        <v>4</v>
      </c>
      <c r="O154">
        <v>168.3</v>
      </c>
    </row>
    <row r="155" spans="1:15" x14ac:dyDescent="0.25">
      <c r="A155">
        <v>50</v>
      </c>
      <c r="B155" t="s">
        <v>8</v>
      </c>
      <c r="C155" s="1">
        <v>4144</v>
      </c>
      <c r="D155" s="1" t="s">
        <v>38</v>
      </c>
      <c r="E155">
        <v>43.568049999999999</v>
      </c>
      <c r="F155">
        <v>11.529260000000001</v>
      </c>
      <c r="G155" s="1">
        <v>25421</v>
      </c>
      <c r="H155" s="1" t="s">
        <v>41</v>
      </c>
      <c r="I155">
        <v>43.619419999999998</v>
      </c>
      <c r="J155">
        <v>11.47508</v>
      </c>
      <c r="K155">
        <v>2</v>
      </c>
      <c r="L155">
        <v>82.599999999975338</v>
      </c>
      <c r="M155">
        <v>6691.1980343133819</v>
      </c>
      <c r="N155">
        <v>1</v>
      </c>
      <c r="O155">
        <v>82.6</v>
      </c>
    </row>
    <row r="156" spans="1:15" x14ac:dyDescent="0.25">
      <c r="A156">
        <v>50</v>
      </c>
      <c r="B156" t="s">
        <v>8</v>
      </c>
      <c r="C156" s="1">
        <v>4144</v>
      </c>
      <c r="D156" s="1" t="s">
        <v>38</v>
      </c>
      <c r="E156">
        <v>43.568049999999999</v>
      </c>
      <c r="F156">
        <v>11.529260000000001</v>
      </c>
      <c r="G156" s="1">
        <v>4142</v>
      </c>
      <c r="H156" s="1" t="s">
        <v>42</v>
      </c>
      <c r="I156">
        <v>43.529310000000002</v>
      </c>
      <c r="J156">
        <v>11.56737</v>
      </c>
      <c r="K156">
        <v>4</v>
      </c>
      <c r="L156">
        <v>244.59999999992101</v>
      </c>
      <c r="M156">
        <v>1458.30687271632</v>
      </c>
      <c r="N156">
        <v>1</v>
      </c>
      <c r="O156">
        <v>244.6</v>
      </c>
    </row>
    <row r="157" spans="1:15" x14ac:dyDescent="0.25">
      <c r="A157">
        <v>50</v>
      </c>
      <c r="B157" t="s">
        <v>8</v>
      </c>
      <c r="C157" s="1">
        <v>46445</v>
      </c>
      <c r="D157" s="1" t="s">
        <v>35</v>
      </c>
      <c r="E157">
        <v>43.10801</v>
      </c>
      <c r="F157">
        <v>12.377940000000001</v>
      </c>
      <c r="G157" s="1">
        <v>46468</v>
      </c>
      <c r="H157" s="1" t="s">
        <v>33</v>
      </c>
      <c r="I157">
        <v>43.116489999999999</v>
      </c>
      <c r="J157">
        <v>12.45126</v>
      </c>
      <c r="K157">
        <v>7</v>
      </c>
      <c r="L157">
        <v>369.39999999970712</v>
      </c>
      <c r="M157">
        <v>9381.7742144749918</v>
      </c>
      <c r="N157">
        <v>3</v>
      </c>
      <c r="O157">
        <v>369.4</v>
      </c>
    </row>
    <row r="158" spans="1:15" x14ac:dyDescent="0.25">
      <c r="A158">
        <v>50</v>
      </c>
      <c r="B158" t="s">
        <v>8</v>
      </c>
      <c r="C158" s="1">
        <v>46445</v>
      </c>
      <c r="D158" s="1" t="s">
        <v>35</v>
      </c>
      <c r="E158">
        <v>43.10801</v>
      </c>
      <c r="F158">
        <v>12.377940000000001</v>
      </c>
      <c r="G158" s="1">
        <v>46471</v>
      </c>
      <c r="H158" s="1" t="s">
        <v>34</v>
      </c>
      <c r="I158">
        <v>43.10031</v>
      </c>
      <c r="J158">
        <v>12.318519999999999</v>
      </c>
      <c r="K158">
        <v>8</v>
      </c>
      <c r="L158">
        <v>376.99999984105642</v>
      </c>
      <c r="M158">
        <v>5420.0405435956563</v>
      </c>
      <c r="N158">
        <v>3</v>
      </c>
      <c r="O158">
        <v>377</v>
      </c>
    </row>
    <row r="159" spans="1:15" x14ac:dyDescent="0.25">
      <c r="A159">
        <v>50</v>
      </c>
      <c r="B159" t="s">
        <v>8</v>
      </c>
      <c r="C159" s="1">
        <v>46471</v>
      </c>
      <c r="D159" s="1" t="s">
        <v>34</v>
      </c>
      <c r="E159">
        <v>43.10031</v>
      </c>
      <c r="F159">
        <v>12.318519999999999</v>
      </c>
      <c r="G159" s="1">
        <v>46445</v>
      </c>
      <c r="H159" s="1" t="s">
        <v>35</v>
      </c>
      <c r="I159">
        <v>43.10801</v>
      </c>
      <c r="J159">
        <v>12.377940000000001</v>
      </c>
      <c r="K159">
        <v>11</v>
      </c>
      <c r="L159">
        <v>678.87999999910869</v>
      </c>
      <c r="M159">
        <v>1701.35801816904</v>
      </c>
      <c r="N159">
        <v>1</v>
      </c>
      <c r="O159">
        <v>678.88</v>
      </c>
    </row>
    <row r="160" spans="1:15" x14ac:dyDescent="0.25">
      <c r="A160">
        <v>50</v>
      </c>
      <c r="B160" t="s">
        <v>8</v>
      </c>
      <c r="C160" s="1">
        <v>92197</v>
      </c>
      <c r="D160" s="1" t="s">
        <v>53</v>
      </c>
      <c r="E160">
        <v>42.570590000000003</v>
      </c>
      <c r="F160">
        <v>12.632300000000001</v>
      </c>
      <c r="G160" s="1">
        <v>92198</v>
      </c>
      <c r="H160" s="1" t="s">
        <v>48</v>
      </c>
      <c r="I160">
        <v>42.529159999999997</v>
      </c>
      <c r="J160">
        <v>12.51361</v>
      </c>
      <c r="K160">
        <v>25</v>
      </c>
      <c r="L160">
        <v>475</v>
      </c>
      <c r="M160">
        <v>7218.6190199457833</v>
      </c>
      <c r="N160">
        <v>2</v>
      </c>
      <c r="O160">
        <v>475</v>
      </c>
    </row>
    <row r="161" spans="1:15" x14ac:dyDescent="0.25">
      <c r="A161">
        <v>50</v>
      </c>
      <c r="B161" t="s">
        <v>9</v>
      </c>
      <c r="C161" s="1">
        <v>25290</v>
      </c>
      <c r="D161" s="1" t="s">
        <v>32</v>
      </c>
      <c r="E161">
        <v>43.81803</v>
      </c>
      <c r="F161">
        <v>11.211550000000001</v>
      </c>
      <c r="G161" s="1">
        <v>25239</v>
      </c>
      <c r="H161" s="1" t="s">
        <v>31</v>
      </c>
      <c r="I161">
        <v>43.77281</v>
      </c>
      <c r="J161">
        <v>11.29452</v>
      </c>
      <c r="K161">
        <v>30.000000000333319</v>
      </c>
      <c r="L161">
        <v>1131.2</v>
      </c>
      <c r="M161">
        <v>7291.5343635815998</v>
      </c>
      <c r="N161">
        <v>2</v>
      </c>
      <c r="O161">
        <v>1131.2</v>
      </c>
    </row>
    <row r="162" spans="1:15" x14ac:dyDescent="0.25">
      <c r="A162">
        <v>50</v>
      </c>
      <c r="B162" t="s">
        <v>9</v>
      </c>
      <c r="C162" s="1">
        <v>25290</v>
      </c>
      <c r="D162" s="1" t="s">
        <v>32</v>
      </c>
      <c r="E162">
        <v>43.81803</v>
      </c>
      <c r="F162">
        <v>11.211550000000001</v>
      </c>
      <c r="G162" s="1">
        <v>25398</v>
      </c>
      <c r="H162" s="1" t="s">
        <v>31</v>
      </c>
      <c r="I162">
        <v>43.769460000000002</v>
      </c>
      <c r="J162">
        <v>11.19172</v>
      </c>
      <c r="K162">
        <v>35</v>
      </c>
      <c r="L162">
        <v>2019.719999188987</v>
      </c>
      <c r="M162">
        <v>11182.78320227965</v>
      </c>
      <c r="N162">
        <v>4</v>
      </c>
      <c r="O162">
        <v>2019.72</v>
      </c>
    </row>
    <row r="163" spans="1:15" x14ac:dyDescent="0.25">
      <c r="A163">
        <v>50</v>
      </c>
      <c r="B163" t="s">
        <v>9</v>
      </c>
      <c r="C163" s="1">
        <v>25290</v>
      </c>
      <c r="D163" s="1" t="s">
        <v>32</v>
      </c>
      <c r="E163">
        <v>43.81803</v>
      </c>
      <c r="F163">
        <v>11.211550000000001</v>
      </c>
      <c r="G163" s="1">
        <v>25400</v>
      </c>
      <c r="H163" s="1" t="s">
        <v>31</v>
      </c>
      <c r="I163">
        <v>43.798690000000001</v>
      </c>
      <c r="J163">
        <v>11.20762</v>
      </c>
      <c r="K163">
        <v>71.000000045329827</v>
      </c>
      <c r="L163">
        <v>6025.0158658683304</v>
      </c>
      <c r="M163">
        <v>8992.8923817506402</v>
      </c>
      <c r="N163">
        <v>6</v>
      </c>
      <c r="O163">
        <v>4490.76</v>
      </c>
    </row>
    <row r="164" spans="1:15" x14ac:dyDescent="0.25">
      <c r="A164">
        <v>50</v>
      </c>
      <c r="B164" t="s">
        <v>9</v>
      </c>
      <c r="C164" s="1">
        <v>25290</v>
      </c>
      <c r="D164" s="1" t="s">
        <v>32</v>
      </c>
      <c r="E164">
        <v>43.81803</v>
      </c>
      <c r="F164">
        <v>11.211550000000001</v>
      </c>
      <c r="G164" s="1">
        <v>25401</v>
      </c>
      <c r="H164" s="1" t="s">
        <v>36</v>
      </c>
      <c r="I164">
        <v>43.87838</v>
      </c>
      <c r="J164">
        <v>11.103210000000001</v>
      </c>
      <c r="K164">
        <v>44.000000000555538</v>
      </c>
      <c r="L164">
        <v>779.59999999999991</v>
      </c>
      <c r="M164">
        <v>10912.99643082713</v>
      </c>
      <c r="N164">
        <v>3</v>
      </c>
      <c r="O164">
        <v>779.59999999999991</v>
      </c>
    </row>
    <row r="165" spans="1:15" x14ac:dyDescent="0.25">
      <c r="A165">
        <v>50</v>
      </c>
      <c r="B165" t="s">
        <v>9</v>
      </c>
      <c r="C165" s="1">
        <v>25290</v>
      </c>
      <c r="D165" s="1" t="s">
        <v>32</v>
      </c>
      <c r="E165">
        <v>43.81803</v>
      </c>
      <c r="F165">
        <v>11.211550000000001</v>
      </c>
      <c r="G165" s="1">
        <v>25417</v>
      </c>
      <c r="H165" s="1" t="s">
        <v>37</v>
      </c>
      <c r="I165">
        <v>43.754040000000003</v>
      </c>
      <c r="J165">
        <v>11.32128</v>
      </c>
      <c r="K165">
        <v>5</v>
      </c>
      <c r="L165">
        <v>64.900000000000006</v>
      </c>
      <c r="M165">
        <v>7097.093447219424</v>
      </c>
      <c r="N165">
        <v>1</v>
      </c>
      <c r="O165">
        <v>64.900000000000006</v>
      </c>
    </row>
    <row r="166" spans="1:15" x14ac:dyDescent="0.25">
      <c r="A166">
        <v>50</v>
      </c>
      <c r="B166" t="s">
        <v>9</v>
      </c>
      <c r="C166" s="1">
        <v>25398</v>
      </c>
      <c r="D166" s="1" t="s">
        <v>31</v>
      </c>
      <c r="E166">
        <v>43.769460000000002</v>
      </c>
      <c r="F166">
        <v>11.19172</v>
      </c>
      <c r="G166" s="1">
        <v>25239</v>
      </c>
      <c r="H166" s="1" t="s">
        <v>31</v>
      </c>
      <c r="I166">
        <v>43.77281</v>
      </c>
      <c r="J166">
        <v>11.29452</v>
      </c>
      <c r="K166">
        <v>4.0000000326906733</v>
      </c>
      <c r="L166">
        <v>134.000000005</v>
      </c>
      <c r="M166">
        <v>2916.6137454326399</v>
      </c>
      <c r="N166">
        <v>1</v>
      </c>
      <c r="O166">
        <v>134</v>
      </c>
    </row>
    <row r="167" spans="1:15" x14ac:dyDescent="0.25">
      <c r="A167">
        <v>50</v>
      </c>
      <c r="B167" t="s">
        <v>9</v>
      </c>
      <c r="C167" s="1">
        <v>25398</v>
      </c>
      <c r="D167" s="1" t="s">
        <v>31</v>
      </c>
      <c r="E167">
        <v>43.769460000000002</v>
      </c>
      <c r="F167">
        <v>11.19172</v>
      </c>
      <c r="G167" s="1">
        <v>25290</v>
      </c>
      <c r="H167" s="1" t="s">
        <v>32</v>
      </c>
      <c r="I167">
        <v>43.81803</v>
      </c>
      <c r="J167">
        <v>11.211550000000001</v>
      </c>
      <c r="K167">
        <v>39.9999999982589</v>
      </c>
      <c r="L167">
        <v>38</v>
      </c>
      <c r="M167">
        <v>4377.3511296034876</v>
      </c>
      <c r="N167">
        <v>1</v>
      </c>
      <c r="O167">
        <v>38</v>
      </c>
    </row>
    <row r="168" spans="1:15" x14ac:dyDescent="0.25">
      <c r="A168">
        <v>50</v>
      </c>
      <c r="B168" t="s">
        <v>9</v>
      </c>
      <c r="C168" s="1">
        <v>25400</v>
      </c>
      <c r="D168" s="1" t="s">
        <v>31</v>
      </c>
      <c r="E168">
        <v>43.798690000000001</v>
      </c>
      <c r="F168">
        <v>11.20762</v>
      </c>
      <c r="G168" s="1">
        <v>25290</v>
      </c>
      <c r="H168" s="1" t="s">
        <v>32</v>
      </c>
      <c r="I168">
        <v>43.81803</v>
      </c>
      <c r="J168">
        <v>11.211550000000001</v>
      </c>
      <c r="K168">
        <v>58.000000045329827</v>
      </c>
      <c r="L168">
        <v>159.91999998579581</v>
      </c>
      <c r="M168">
        <v>2673.5625999799199</v>
      </c>
      <c r="N168">
        <v>2</v>
      </c>
      <c r="O168">
        <v>159.91999999999999</v>
      </c>
    </row>
    <row r="169" spans="1:15" x14ac:dyDescent="0.25">
      <c r="A169">
        <v>50</v>
      </c>
      <c r="B169" t="s">
        <v>9</v>
      </c>
      <c r="C169" s="1">
        <v>25400</v>
      </c>
      <c r="D169" s="1" t="s">
        <v>31</v>
      </c>
      <c r="E169">
        <v>43.798690000000001</v>
      </c>
      <c r="F169">
        <v>11.20762</v>
      </c>
      <c r="G169" s="1">
        <v>25398</v>
      </c>
      <c r="H169" s="1" t="s">
        <v>31</v>
      </c>
      <c r="I169">
        <v>43.769460000000002</v>
      </c>
      <c r="J169">
        <v>11.19172</v>
      </c>
      <c r="K169">
        <v>13.000000000714291</v>
      </c>
      <c r="L169">
        <v>961.4</v>
      </c>
      <c r="M169">
        <v>2989.529089068456</v>
      </c>
      <c r="N169">
        <v>2</v>
      </c>
      <c r="O169">
        <v>961.4</v>
      </c>
    </row>
    <row r="170" spans="1:15" x14ac:dyDescent="0.25">
      <c r="A170">
        <v>50</v>
      </c>
      <c r="B170" t="s">
        <v>9</v>
      </c>
      <c r="C170" s="1">
        <v>25401</v>
      </c>
      <c r="D170" s="1" t="s">
        <v>36</v>
      </c>
      <c r="E170">
        <v>43.87838</v>
      </c>
      <c r="F170">
        <v>11.103210000000001</v>
      </c>
      <c r="G170" s="1">
        <v>25290</v>
      </c>
      <c r="H170" s="1" t="s">
        <v>32</v>
      </c>
      <c r="I170">
        <v>43.81803</v>
      </c>
      <c r="J170">
        <v>11.211550000000001</v>
      </c>
      <c r="K170">
        <v>18</v>
      </c>
      <c r="L170">
        <v>58.799999953305161</v>
      </c>
      <c r="M170">
        <v>3767.2927545171601</v>
      </c>
      <c r="N170">
        <v>1</v>
      </c>
      <c r="O170">
        <v>58.8</v>
      </c>
    </row>
    <row r="171" spans="1:15" x14ac:dyDescent="0.25">
      <c r="A171">
        <v>50</v>
      </c>
      <c r="B171" t="s">
        <v>9</v>
      </c>
      <c r="C171" s="1">
        <v>25401</v>
      </c>
      <c r="D171" s="1" t="s">
        <v>36</v>
      </c>
      <c r="E171">
        <v>43.87838</v>
      </c>
      <c r="F171">
        <v>11.103210000000001</v>
      </c>
      <c r="G171" s="1">
        <v>25433</v>
      </c>
      <c r="H171" s="1" t="s">
        <v>44</v>
      </c>
      <c r="I171">
        <v>43.923850000000002</v>
      </c>
      <c r="J171">
        <v>11.03511</v>
      </c>
      <c r="K171">
        <v>18</v>
      </c>
      <c r="L171">
        <v>791.99999999974307</v>
      </c>
      <c r="M171">
        <v>2916.6137454326399</v>
      </c>
      <c r="N171">
        <v>1</v>
      </c>
      <c r="O171">
        <v>792</v>
      </c>
    </row>
    <row r="172" spans="1:15" x14ac:dyDescent="0.25">
      <c r="A172">
        <v>50</v>
      </c>
      <c r="B172" t="s">
        <v>9</v>
      </c>
      <c r="C172" s="1">
        <v>25421</v>
      </c>
      <c r="D172" s="1" t="s">
        <v>41</v>
      </c>
      <c r="E172">
        <v>43.619419999999998</v>
      </c>
      <c r="F172">
        <v>11.47508</v>
      </c>
      <c r="G172" s="1">
        <v>4144</v>
      </c>
      <c r="H172" s="1" t="s">
        <v>38</v>
      </c>
      <c r="I172">
        <v>43.568049999999999</v>
      </c>
      <c r="J172">
        <v>11.529260000000001</v>
      </c>
      <c r="K172">
        <v>5</v>
      </c>
      <c r="L172">
        <v>194.4</v>
      </c>
      <c r="M172">
        <v>2187.4603090744799</v>
      </c>
      <c r="N172">
        <v>1</v>
      </c>
      <c r="O172">
        <v>194.4</v>
      </c>
    </row>
    <row r="173" spans="1:15" x14ac:dyDescent="0.25">
      <c r="A173">
        <v>50</v>
      </c>
      <c r="B173" t="s">
        <v>9</v>
      </c>
      <c r="C173" s="1">
        <v>32094</v>
      </c>
      <c r="D173" s="1" t="s">
        <v>54</v>
      </c>
      <c r="E173">
        <v>43.304879999999997</v>
      </c>
      <c r="F173">
        <v>10.5182</v>
      </c>
      <c r="G173" s="1">
        <v>32098</v>
      </c>
      <c r="H173" s="1" t="s">
        <v>50</v>
      </c>
      <c r="I173">
        <v>43.393940000000001</v>
      </c>
      <c r="J173">
        <v>10.43547</v>
      </c>
      <c r="K173">
        <v>7</v>
      </c>
      <c r="L173">
        <v>70.8</v>
      </c>
      <c r="M173">
        <v>2189.8908205290072</v>
      </c>
      <c r="N173">
        <v>1</v>
      </c>
      <c r="O173">
        <v>70.8</v>
      </c>
    </row>
    <row r="174" spans="1:15" x14ac:dyDescent="0.25">
      <c r="A174">
        <v>50</v>
      </c>
      <c r="B174" t="s">
        <v>9</v>
      </c>
      <c r="C174" s="1">
        <v>33212</v>
      </c>
      <c r="D174" s="1" t="s">
        <v>46</v>
      </c>
      <c r="E174">
        <v>43.844110000000001</v>
      </c>
      <c r="F174">
        <v>10.525460000000001</v>
      </c>
      <c r="G174" s="1">
        <v>77150</v>
      </c>
      <c r="H174" s="1" t="s">
        <v>46</v>
      </c>
      <c r="I174">
        <v>43.860230000000001</v>
      </c>
      <c r="J174">
        <v>10.51596</v>
      </c>
      <c r="K174">
        <v>2</v>
      </c>
      <c r="L174">
        <v>153</v>
      </c>
      <c r="M174">
        <v>1069.4250399919681</v>
      </c>
      <c r="N174">
        <v>1</v>
      </c>
      <c r="O174">
        <v>153</v>
      </c>
    </row>
    <row r="175" spans="1:15" x14ac:dyDescent="0.25">
      <c r="A175">
        <v>50</v>
      </c>
      <c r="B175" t="s">
        <v>9</v>
      </c>
      <c r="C175" s="1">
        <v>33214</v>
      </c>
      <c r="D175" s="1" t="s">
        <v>51</v>
      </c>
      <c r="E175">
        <v>43.868270000000003</v>
      </c>
      <c r="F175">
        <v>10.252879999999999</v>
      </c>
      <c r="G175" s="1">
        <v>33220</v>
      </c>
      <c r="H175" s="1" t="s">
        <v>39</v>
      </c>
      <c r="I175">
        <v>43.894159999999999</v>
      </c>
      <c r="J175">
        <v>10.22714</v>
      </c>
      <c r="K175">
        <v>3</v>
      </c>
      <c r="L175">
        <v>210.7</v>
      </c>
      <c r="M175">
        <v>4642.2768781469513</v>
      </c>
      <c r="N175">
        <v>4</v>
      </c>
      <c r="O175">
        <v>210.7</v>
      </c>
    </row>
    <row r="176" spans="1:15" x14ac:dyDescent="0.25">
      <c r="A176">
        <v>50</v>
      </c>
      <c r="B176" t="s">
        <v>9</v>
      </c>
      <c r="C176" s="1">
        <v>33218</v>
      </c>
      <c r="D176" s="1" t="s">
        <v>52</v>
      </c>
      <c r="E176">
        <v>44.033050000000003</v>
      </c>
      <c r="F176">
        <v>10.50367</v>
      </c>
      <c r="G176" s="1">
        <v>33219</v>
      </c>
      <c r="H176" s="1" t="s">
        <v>47</v>
      </c>
      <c r="I176">
        <v>44.110500000000002</v>
      </c>
      <c r="J176">
        <v>10.41159</v>
      </c>
      <c r="K176">
        <v>28</v>
      </c>
      <c r="L176">
        <v>358.5</v>
      </c>
      <c r="M176">
        <v>4131.8694726962403</v>
      </c>
      <c r="N176">
        <v>1</v>
      </c>
      <c r="O176">
        <v>358.5</v>
      </c>
    </row>
    <row r="177" spans="1:15" x14ac:dyDescent="0.25">
      <c r="A177">
        <v>50</v>
      </c>
      <c r="B177" t="s">
        <v>9</v>
      </c>
      <c r="C177" s="1">
        <v>33220</v>
      </c>
      <c r="D177" s="1" t="s">
        <v>39</v>
      </c>
      <c r="E177">
        <v>43.894159999999999</v>
      </c>
      <c r="F177">
        <v>10.22714</v>
      </c>
      <c r="G177" s="1">
        <v>33221</v>
      </c>
      <c r="H177" s="1" t="s">
        <v>40</v>
      </c>
      <c r="I177">
        <v>43.956339999999997</v>
      </c>
      <c r="J177">
        <v>10.22996</v>
      </c>
      <c r="K177">
        <v>5</v>
      </c>
      <c r="L177">
        <v>168.3</v>
      </c>
      <c r="M177">
        <v>10164.398902832751</v>
      </c>
      <c r="N177">
        <v>4</v>
      </c>
      <c r="O177">
        <v>168.3</v>
      </c>
    </row>
    <row r="178" spans="1:15" x14ac:dyDescent="0.25">
      <c r="A178">
        <v>50</v>
      </c>
      <c r="B178" t="s">
        <v>9</v>
      </c>
      <c r="C178" s="1">
        <v>4144</v>
      </c>
      <c r="D178" s="1" t="s">
        <v>38</v>
      </c>
      <c r="E178">
        <v>43.568049999999999</v>
      </c>
      <c r="F178">
        <v>11.529260000000001</v>
      </c>
      <c r="G178" s="1">
        <v>25421</v>
      </c>
      <c r="H178" s="1" t="s">
        <v>41</v>
      </c>
      <c r="I178">
        <v>43.619419999999998</v>
      </c>
      <c r="J178">
        <v>11.47508</v>
      </c>
      <c r="K178">
        <v>2</v>
      </c>
      <c r="L178">
        <v>82.6</v>
      </c>
      <c r="M178">
        <v>6691.1980343133819</v>
      </c>
      <c r="N178">
        <v>1</v>
      </c>
      <c r="O178">
        <v>82.6</v>
      </c>
    </row>
    <row r="179" spans="1:15" x14ac:dyDescent="0.25">
      <c r="A179">
        <v>50</v>
      </c>
      <c r="B179" t="s">
        <v>9</v>
      </c>
      <c r="C179" s="1">
        <v>4144</v>
      </c>
      <c r="D179" s="1" t="s">
        <v>38</v>
      </c>
      <c r="E179">
        <v>43.568049999999999</v>
      </c>
      <c r="F179">
        <v>11.529260000000001</v>
      </c>
      <c r="G179" s="1">
        <v>4142</v>
      </c>
      <c r="H179" s="1" t="s">
        <v>42</v>
      </c>
      <c r="I179">
        <v>43.529310000000002</v>
      </c>
      <c r="J179">
        <v>11.56737</v>
      </c>
      <c r="K179">
        <v>4</v>
      </c>
      <c r="L179">
        <v>244.6</v>
      </c>
      <c r="M179">
        <v>1458.30687271632</v>
      </c>
      <c r="N179">
        <v>1</v>
      </c>
      <c r="O179">
        <v>244.6</v>
      </c>
    </row>
    <row r="180" spans="1:15" x14ac:dyDescent="0.25">
      <c r="A180">
        <v>50</v>
      </c>
      <c r="B180" t="s">
        <v>9</v>
      </c>
      <c r="C180" s="1">
        <v>46445</v>
      </c>
      <c r="D180" s="1" t="s">
        <v>35</v>
      </c>
      <c r="E180">
        <v>43.10801</v>
      </c>
      <c r="F180">
        <v>12.377940000000001</v>
      </c>
      <c r="G180" s="1">
        <v>46468</v>
      </c>
      <c r="H180" s="1" t="s">
        <v>33</v>
      </c>
      <c r="I180">
        <v>43.116489999999999</v>
      </c>
      <c r="J180">
        <v>12.45126</v>
      </c>
      <c r="K180">
        <v>7</v>
      </c>
      <c r="L180">
        <v>369.39999999885578</v>
      </c>
      <c r="M180">
        <v>9381.7742144749918</v>
      </c>
      <c r="N180">
        <v>3</v>
      </c>
      <c r="O180">
        <v>369.4</v>
      </c>
    </row>
    <row r="181" spans="1:15" x14ac:dyDescent="0.25">
      <c r="A181">
        <v>50</v>
      </c>
      <c r="B181" t="s">
        <v>9</v>
      </c>
      <c r="C181" s="1">
        <v>46445</v>
      </c>
      <c r="D181" s="1" t="s">
        <v>35</v>
      </c>
      <c r="E181">
        <v>43.10801</v>
      </c>
      <c r="F181">
        <v>12.377940000000001</v>
      </c>
      <c r="G181" s="1">
        <v>46471</v>
      </c>
      <c r="H181" s="1" t="s">
        <v>34</v>
      </c>
      <c r="I181">
        <v>43.10031</v>
      </c>
      <c r="J181">
        <v>12.318519999999999</v>
      </c>
      <c r="K181">
        <v>8</v>
      </c>
      <c r="L181">
        <v>376.99999999587033</v>
      </c>
      <c r="M181">
        <v>5420.0405435956563</v>
      </c>
      <c r="N181">
        <v>3</v>
      </c>
      <c r="O181">
        <v>377</v>
      </c>
    </row>
    <row r="182" spans="1:15" x14ac:dyDescent="0.25">
      <c r="A182">
        <v>50</v>
      </c>
      <c r="B182" t="s">
        <v>9</v>
      </c>
      <c r="C182" s="1">
        <v>46471</v>
      </c>
      <c r="D182" s="1" t="s">
        <v>34</v>
      </c>
      <c r="E182">
        <v>43.10031</v>
      </c>
      <c r="F182">
        <v>12.318519999999999</v>
      </c>
      <c r="G182" s="1">
        <v>46445</v>
      </c>
      <c r="H182" s="1" t="s">
        <v>35</v>
      </c>
      <c r="I182">
        <v>43.10801</v>
      </c>
      <c r="J182">
        <v>12.377940000000001</v>
      </c>
      <c r="K182">
        <v>11</v>
      </c>
      <c r="L182">
        <v>678.88</v>
      </c>
      <c r="M182">
        <v>1701.35801816904</v>
      </c>
      <c r="N182">
        <v>1</v>
      </c>
      <c r="O182">
        <v>678.88</v>
      </c>
    </row>
    <row r="183" spans="1:15" x14ac:dyDescent="0.25">
      <c r="A183">
        <v>50</v>
      </c>
      <c r="B183" t="s">
        <v>9</v>
      </c>
      <c r="C183" s="1">
        <v>59131</v>
      </c>
      <c r="D183" s="1" t="s">
        <v>45</v>
      </c>
      <c r="E183">
        <v>43.331879999999998</v>
      </c>
      <c r="F183">
        <v>11.32122</v>
      </c>
      <c r="G183" s="1">
        <v>59157</v>
      </c>
      <c r="H183" s="1" t="s">
        <v>45</v>
      </c>
      <c r="I183">
        <v>43.29034</v>
      </c>
      <c r="J183">
        <v>11.33822</v>
      </c>
      <c r="K183">
        <v>20</v>
      </c>
      <c r="L183">
        <v>1303.42</v>
      </c>
      <c r="M183">
        <v>4.8610229090543999</v>
      </c>
      <c r="N183">
        <v>2</v>
      </c>
      <c r="O183">
        <v>1303.42</v>
      </c>
    </row>
    <row r="184" spans="1:15" x14ac:dyDescent="0.25">
      <c r="A184">
        <v>50</v>
      </c>
      <c r="B184" t="s">
        <v>9</v>
      </c>
      <c r="C184" s="1">
        <v>59157</v>
      </c>
      <c r="D184" s="1" t="s">
        <v>45</v>
      </c>
      <c r="E184">
        <v>43.29034</v>
      </c>
      <c r="F184">
        <v>11.33822</v>
      </c>
      <c r="G184" s="1">
        <v>59131</v>
      </c>
      <c r="H184" s="1" t="s">
        <v>45</v>
      </c>
      <c r="I184">
        <v>43.331879999999998</v>
      </c>
      <c r="J184">
        <v>11.32122</v>
      </c>
      <c r="K184">
        <v>7</v>
      </c>
      <c r="L184">
        <v>408.4</v>
      </c>
      <c r="M184">
        <v>2187.4603090744799</v>
      </c>
      <c r="N184">
        <v>1</v>
      </c>
      <c r="O184">
        <v>408.4</v>
      </c>
    </row>
    <row r="185" spans="1:15" x14ac:dyDescent="0.25">
      <c r="A185">
        <v>50</v>
      </c>
      <c r="B185" t="s">
        <v>9</v>
      </c>
      <c r="C185" s="1">
        <v>77343</v>
      </c>
      <c r="D185" s="1" t="s">
        <v>43</v>
      </c>
      <c r="E185">
        <v>42.812559999999998</v>
      </c>
      <c r="F185">
        <v>10.31758</v>
      </c>
      <c r="G185" s="1">
        <v>32095</v>
      </c>
      <c r="H185" s="1" t="s">
        <v>43</v>
      </c>
      <c r="I185">
        <v>42.810519999999997</v>
      </c>
      <c r="J185">
        <v>10.30799</v>
      </c>
      <c r="K185">
        <v>3</v>
      </c>
      <c r="L185">
        <v>273.7</v>
      </c>
      <c r="M185">
        <v>291.661374543264</v>
      </c>
      <c r="N185">
        <v>1</v>
      </c>
      <c r="O185">
        <v>273.7</v>
      </c>
    </row>
    <row r="186" spans="1:15" x14ac:dyDescent="0.25">
      <c r="A186">
        <v>50</v>
      </c>
      <c r="B186" t="s">
        <v>9</v>
      </c>
      <c r="C186" s="1">
        <v>85210</v>
      </c>
      <c r="D186" s="1" t="s">
        <v>49</v>
      </c>
      <c r="E186">
        <v>43.928640000000001</v>
      </c>
      <c r="F186">
        <v>10.9284</v>
      </c>
      <c r="G186" s="1">
        <v>77334</v>
      </c>
      <c r="H186" s="1" t="s">
        <v>49</v>
      </c>
      <c r="I186">
        <v>43.939680000000003</v>
      </c>
      <c r="J186">
        <v>10.943490000000001</v>
      </c>
      <c r="K186">
        <v>1</v>
      </c>
      <c r="L186">
        <v>37</v>
      </c>
      <c r="M186">
        <v>850.67900908451998</v>
      </c>
      <c r="N186">
        <v>1</v>
      </c>
      <c r="O186">
        <v>37</v>
      </c>
    </row>
    <row r="187" spans="1:15" x14ac:dyDescent="0.25">
      <c r="A187">
        <v>50</v>
      </c>
      <c r="B187" t="s">
        <v>9</v>
      </c>
      <c r="C187" s="1">
        <v>92197</v>
      </c>
      <c r="D187" s="1" t="s">
        <v>53</v>
      </c>
      <c r="E187">
        <v>42.570590000000003</v>
      </c>
      <c r="F187">
        <v>12.632300000000001</v>
      </c>
      <c r="G187" s="1">
        <v>92198</v>
      </c>
      <c r="H187" s="1" t="s">
        <v>48</v>
      </c>
      <c r="I187">
        <v>42.529159999999997</v>
      </c>
      <c r="J187">
        <v>12.51361</v>
      </c>
      <c r="K187">
        <v>25</v>
      </c>
      <c r="L187">
        <v>475</v>
      </c>
      <c r="M187">
        <v>7218.6190199457833</v>
      </c>
      <c r="N187">
        <v>2</v>
      </c>
      <c r="O187">
        <v>475</v>
      </c>
    </row>
    <row r="188" spans="1:15" x14ac:dyDescent="0.25">
      <c r="A188">
        <v>70</v>
      </c>
      <c r="B188" t="s">
        <v>7</v>
      </c>
      <c r="C188" s="1">
        <v>25290</v>
      </c>
      <c r="D188" s="1" t="s">
        <v>32</v>
      </c>
      <c r="E188">
        <v>43.81803</v>
      </c>
      <c r="F188">
        <v>11.211550000000001</v>
      </c>
      <c r="G188" s="1">
        <v>25239</v>
      </c>
      <c r="H188" s="1" t="s">
        <v>31</v>
      </c>
      <c r="I188">
        <v>43.77281</v>
      </c>
      <c r="J188">
        <v>11.29452</v>
      </c>
      <c r="K188">
        <v>129.00000000002629</v>
      </c>
      <c r="L188">
        <v>4972.7137247081646</v>
      </c>
      <c r="M188">
        <v>14583.0687271632</v>
      </c>
      <c r="N188">
        <v>4</v>
      </c>
      <c r="O188">
        <v>4470.8</v>
      </c>
    </row>
    <row r="189" spans="1:15" x14ac:dyDescent="0.25">
      <c r="A189">
        <v>70</v>
      </c>
      <c r="B189" t="s">
        <v>7</v>
      </c>
      <c r="C189" s="1">
        <v>25290</v>
      </c>
      <c r="D189" s="1" t="s">
        <v>32</v>
      </c>
      <c r="E189">
        <v>43.81803</v>
      </c>
      <c r="F189">
        <v>11.211550000000001</v>
      </c>
      <c r="G189" s="1">
        <v>25398</v>
      </c>
      <c r="H189" s="1" t="s">
        <v>31</v>
      </c>
      <c r="I189">
        <v>43.769460000000002</v>
      </c>
      <c r="J189">
        <v>11.19172</v>
      </c>
      <c r="K189">
        <v>35.000000021263169</v>
      </c>
      <c r="L189">
        <v>2019.7200004870481</v>
      </c>
      <c r="M189">
        <v>11182.78320227965</v>
      </c>
      <c r="N189">
        <v>4</v>
      </c>
      <c r="O189">
        <v>2019.72</v>
      </c>
    </row>
    <row r="190" spans="1:15" x14ac:dyDescent="0.25">
      <c r="A190">
        <v>70</v>
      </c>
      <c r="B190" t="s">
        <v>7</v>
      </c>
      <c r="C190" s="1">
        <v>25290</v>
      </c>
      <c r="D190" s="1" t="s">
        <v>32</v>
      </c>
      <c r="E190">
        <v>43.81803</v>
      </c>
      <c r="F190">
        <v>11.211550000000001</v>
      </c>
      <c r="G190" s="1">
        <v>25400</v>
      </c>
      <c r="H190" s="1" t="s">
        <v>31</v>
      </c>
      <c r="I190">
        <v>43.798690000000001</v>
      </c>
      <c r="J190">
        <v>11.20762</v>
      </c>
      <c r="K190">
        <v>72.000000000259121</v>
      </c>
      <c r="L190">
        <v>6187.3993120599789</v>
      </c>
      <c r="M190">
        <v>8871.3668090242791</v>
      </c>
      <c r="N190">
        <v>6</v>
      </c>
      <c r="O190">
        <v>5900.96</v>
      </c>
    </row>
    <row r="191" spans="1:15" x14ac:dyDescent="0.25">
      <c r="A191">
        <v>70</v>
      </c>
      <c r="B191" t="s">
        <v>7</v>
      </c>
      <c r="C191" s="1">
        <v>25290</v>
      </c>
      <c r="D191" s="1" t="s">
        <v>32</v>
      </c>
      <c r="E191">
        <v>43.81803</v>
      </c>
      <c r="F191">
        <v>11.211550000000001</v>
      </c>
      <c r="G191" s="1">
        <v>25401</v>
      </c>
      <c r="H191" s="1" t="s">
        <v>36</v>
      </c>
      <c r="I191">
        <v>43.87838</v>
      </c>
      <c r="J191">
        <v>11.103210000000001</v>
      </c>
      <c r="K191">
        <v>155</v>
      </c>
      <c r="L191">
        <v>2791.3</v>
      </c>
      <c r="M191">
        <v>18690.63308531417</v>
      </c>
      <c r="N191">
        <v>5</v>
      </c>
      <c r="O191">
        <v>2791.3</v>
      </c>
    </row>
    <row r="192" spans="1:15" x14ac:dyDescent="0.25">
      <c r="A192">
        <v>70</v>
      </c>
      <c r="B192" t="s">
        <v>7</v>
      </c>
      <c r="C192" s="1">
        <v>25290</v>
      </c>
      <c r="D192" s="1" t="s">
        <v>32</v>
      </c>
      <c r="E192">
        <v>43.81803</v>
      </c>
      <c r="F192">
        <v>11.211550000000001</v>
      </c>
      <c r="G192" s="1">
        <v>25417</v>
      </c>
      <c r="H192" s="1" t="s">
        <v>37</v>
      </c>
      <c r="I192">
        <v>43.754040000000003</v>
      </c>
      <c r="J192">
        <v>11.32128</v>
      </c>
      <c r="K192">
        <v>23.000000005081809</v>
      </c>
      <c r="L192">
        <v>352.23176536266192</v>
      </c>
      <c r="M192">
        <v>7097.093447219424</v>
      </c>
      <c r="N192">
        <v>1</v>
      </c>
      <c r="O192">
        <v>64.900000000000006</v>
      </c>
    </row>
    <row r="193" spans="1:15" x14ac:dyDescent="0.25">
      <c r="A193">
        <v>70</v>
      </c>
      <c r="B193" t="s">
        <v>7</v>
      </c>
      <c r="C193" s="1">
        <v>25398</v>
      </c>
      <c r="D193" s="1" t="s">
        <v>31</v>
      </c>
      <c r="E193">
        <v>43.769460000000002</v>
      </c>
      <c r="F193">
        <v>11.19172</v>
      </c>
      <c r="G193" s="1">
        <v>25239</v>
      </c>
      <c r="H193" s="1" t="s">
        <v>31</v>
      </c>
      <c r="I193">
        <v>43.77281</v>
      </c>
      <c r="J193">
        <v>11.29452</v>
      </c>
      <c r="K193">
        <v>4</v>
      </c>
      <c r="L193">
        <v>134</v>
      </c>
      <c r="M193">
        <v>2916.6137454326399</v>
      </c>
      <c r="N193">
        <v>1</v>
      </c>
      <c r="O193">
        <v>134</v>
      </c>
    </row>
    <row r="194" spans="1:15" x14ac:dyDescent="0.25">
      <c r="A194">
        <v>70</v>
      </c>
      <c r="B194" t="s">
        <v>7</v>
      </c>
      <c r="C194" s="1">
        <v>25398</v>
      </c>
      <c r="D194" s="1" t="s">
        <v>31</v>
      </c>
      <c r="E194">
        <v>43.769460000000002</v>
      </c>
      <c r="F194">
        <v>11.19172</v>
      </c>
      <c r="G194" s="1">
        <v>25290</v>
      </c>
      <c r="H194" s="1" t="s">
        <v>32</v>
      </c>
      <c r="I194">
        <v>43.81803</v>
      </c>
      <c r="J194">
        <v>11.211550000000001</v>
      </c>
      <c r="K194">
        <v>44.000000016224917</v>
      </c>
      <c r="L194">
        <v>38</v>
      </c>
      <c r="M194">
        <v>4377.3511296034876</v>
      </c>
      <c r="N194">
        <v>1</v>
      </c>
      <c r="O194">
        <v>38</v>
      </c>
    </row>
    <row r="195" spans="1:15" x14ac:dyDescent="0.25">
      <c r="A195">
        <v>70</v>
      </c>
      <c r="B195" t="s">
        <v>7</v>
      </c>
      <c r="C195" s="1">
        <v>25400</v>
      </c>
      <c r="D195" s="1" t="s">
        <v>31</v>
      </c>
      <c r="E195">
        <v>43.798690000000001</v>
      </c>
      <c r="F195">
        <v>11.20762</v>
      </c>
      <c r="G195" s="1">
        <v>25290</v>
      </c>
      <c r="H195" s="1" t="s">
        <v>32</v>
      </c>
      <c r="I195">
        <v>43.81803</v>
      </c>
      <c r="J195">
        <v>11.211550000000001</v>
      </c>
      <c r="K195">
        <v>54.999999984481143</v>
      </c>
      <c r="L195">
        <v>159.91999877209491</v>
      </c>
      <c r="M195">
        <v>2673.5625999799199</v>
      </c>
      <c r="N195">
        <v>2</v>
      </c>
      <c r="O195">
        <v>159.91999999999999</v>
      </c>
    </row>
    <row r="196" spans="1:15" x14ac:dyDescent="0.25">
      <c r="A196">
        <v>70</v>
      </c>
      <c r="B196" t="s">
        <v>7</v>
      </c>
      <c r="C196" s="1">
        <v>25400</v>
      </c>
      <c r="D196" s="1" t="s">
        <v>31</v>
      </c>
      <c r="E196">
        <v>43.798690000000001</v>
      </c>
      <c r="F196">
        <v>11.20762</v>
      </c>
      <c r="G196" s="1">
        <v>25398</v>
      </c>
      <c r="H196" s="1" t="s">
        <v>31</v>
      </c>
      <c r="I196">
        <v>43.769460000000002</v>
      </c>
      <c r="J196">
        <v>11.19172</v>
      </c>
      <c r="K196">
        <v>12.99999999559139</v>
      </c>
      <c r="L196">
        <v>961.39999823670075</v>
      </c>
      <c r="M196">
        <v>2989.529089068456</v>
      </c>
      <c r="N196">
        <v>2</v>
      </c>
      <c r="O196">
        <v>961.4</v>
      </c>
    </row>
    <row r="197" spans="1:15" x14ac:dyDescent="0.25">
      <c r="A197">
        <v>70</v>
      </c>
      <c r="B197" t="s">
        <v>7</v>
      </c>
      <c r="C197" s="1">
        <v>25401</v>
      </c>
      <c r="D197" s="1" t="s">
        <v>36</v>
      </c>
      <c r="E197">
        <v>43.87838</v>
      </c>
      <c r="F197">
        <v>11.103210000000001</v>
      </c>
      <c r="G197" s="1">
        <v>25290</v>
      </c>
      <c r="H197" s="1" t="s">
        <v>32</v>
      </c>
      <c r="I197">
        <v>43.81803</v>
      </c>
      <c r="J197">
        <v>11.211550000000001</v>
      </c>
      <c r="K197">
        <v>23.00000000449921</v>
      </c>
      <c r="L197">
        <v>58.799999803898388</v>
      </c>
      <c r="M197">
        <v>3767.2927545171601</v>
      </c>
      <c r="N197">
        <v>1</v>
      </c>
      <c r="O197">
        <v>58.8</v>
      </c>
    </row>
    <row r="198" spans="1:15" x14ac:dyDescent="0.25">
      <c r="A198">
        <v>70</v>
      </c>
      <c r="B198" t="s">
        <v>7</v>
      </c>
      <c r="C198" s="1">
        <v>25401</v>
      </c>
      <c r="D198" s="1" t="s">
        <v>36</v>
      </c>
      <c r="E198">
        <v>43.87838</v>
      </c>
      <c r="F198">
        <v>11.103210000000001</v>
      </c>
      <c r="G198" s="1">
        <v>25433</v>
      </c>
      <c r="H198" s="1" t="s">
        <v>44</v>
      </c>
      <c r="I198">
        <v>43.923850000000002</v>
      </c>
      <c r="J198">
        <v>11.03511</v>
      </c>
      <c r="K198">
        <v>18</v>
      </c>
      <c r="L198">
        <v>792</v>
      </c>
      <c r="M198">
        <v>2916.6137454326399</v>
      </c>
      <c r="N198">
        <v>1</v>
      </c>
      <c r="O198">
        <v>792</v>
      </c>
    </row>
    <row r="199" spans="1:15" x14ac:dyDescent="0.25">
      <c r="A199">
        <v>70</v>
      </c>
      <c r="B199" t="s">
        <v>7</v>
      </c>
      <c r="C199" s="1">
        <v>25421</v>
      </c>
      <c r="D199" s="1" t="s">
        <v>41</v>
      </c>
      <c r="E199">
        <v>43.619419999999998</v>
      </c>
      <c r="F199">
        <v>11.47508</v>
      </c>
      <c r="G199" s="1">
        <v>4142</v>
      </c>
      <c r="H199" s="1" t="s">
        <v>42</v>
      </c>
      <c r="I199">
        <v>43.529310000000002</v>
      </c>
      <c r="J199">
        <v>11.56737</v>
      </c>
      <c r="K199">
        <v>2</v>
      </c>
      <c r="L199">
        <v>12.636474690843601</v>
      </c>
      <c r="M199">
        <v>0</v>
      </c>
      <c r="N199">
        <v>0</v>
      </c>
      <c r="O199">
        <v>0</v>
      </c>
    </row>
    <row r="200" spans="1:15" x14ac:dyDescent="0.25">
      <c r="A200">
        <v>70</v>
      </c>
      <c r="B200" t="s">
        <v>7</v>
      </c>
      <c r="C200" s="1">
        <v>25421</v>
      </c>
      <c r="D200" s="1" t="s">
        <v>41</v>
      </c>
      <c r="E200">
        <v>43.619419999999998</v>
      </c>
      <c r="F200">
        <v>11.47508</v>
      </c>
      <c r="G200" s="1">
        <v>4144</v>
      </c>
      <c r="H200" s="1" t="s">
        <v>38</v>
      </c>
      <c r="I200">
        <v>43.568049999999999</v>
      </c>
      <c r="J200">
        <v>11.529260000000001</v>
      </c>
      <c r="K200">
        <v>4</v>
      </c>
      <c r="L200">
        <v>190.27484520595939</v>
      </c>
      <c r="M200">
        <v>0</v>
      </c>
      <c r="N200">
        <v>0</v>
      </c>
      <c r="O200">
        <v>0</v>
      </c>
    </row>
    <row r="201" spans="1:15" x14ac:dyDescent="0.25">
      <c r="A201">
        <v>70</v>
      </c>
      <c r="B201" t="s">
        <v>7</v>
      </c>
      <c r="C201" s="1">
        <v>33212</v>
      </c>
      <c r="D201" s="1" t="s">
        <v>46</v>
      </c>
      <c r="E201">
        <v>43.844110000000001</v>
      </c>
      <c r="F201">
        <v>10.525460000000001</v>
      </c>
      <c r="G201" s="1">
        <v>77150</v>
      </c>
      <c r="H201" s="1" t="s">
        <v>46</v>
      </c>
      <c r="I201">
        <v>43.860230000000001</v>
      </c>
      <c r="J201">
        <v>10.51596</v>
      </c>
      <c r="K201">
        <v>2</v>
      </c>
      <c r="L201">
        <v>153</v>
      </c>
      <c r="M201">
        <v>1069.4250399919681</v>
      </c>
      <c r="N201">
        <v>1</v>
      </c>
      <c r="O201">
        <v>153</v>
      </c>
    </row>
    <row r="202" spans="1:15" x14ac:dyDescent="0.25">
      <c r="A202">
        <v>70</v>
      </c>
      <c r="B202" t="s">
        <v>7</v>
      </c>
      <c r="C202" s="1">
        <v>33214</v>
      </c>
      <c r="D202" s="1" t="s">
        <v>51</v>
      </c>
      <c r="E202">
        <v>43.868270000000003</v>
      </c>
      <c r="F202">
        <v>10.252879999999999</v>
      </c>
      <c r="G202" s="1">
        <v>33220</v>
      </c>
      <c r="H202" s="1" t="s">
        <v>39</v>
      </c>
      <c r="I202">
        <v>43.894159999999999</v>
      </c>
      <c r="J202">
        <v>10.22714</v>
      </c>
      <c r="K202">
        <v>3</v>
      </c>
      <c r="L202">
        <v>210.7</v>
      </c>
      <c r="M202">
        <v>4642.2768781469513</v>
      </c>
      <c r="N202">
        <v>4</v>
      </c>
      <c r="O202">
        <v>210.7</v>
      </c>
    </row>
    <row r="203" spans="1:15" x14ac:dyDescent="0.25">
      <c r="A203">
        <v>70</v>
      </c>
      <c r="B203" t="s">
        <v>7</v>
      </c>
      <c r="C203" s="1">
        <v>33220</v>
      </c>
      <c r="D203" s="1" t="s">
        <v>39</v>
      </c>
      <c r="E203">
        <v>43.894159999999999</v>
      </c>
      <c r="F203">
        <v>10.22714</v>
      </c>
      <c r="G203" s="1">
        <v>33221</v>
      </c>
      <c r="H203" s="1" t="s">
        <v>40</v>
      </c>
      <c r="I203">
        <v>43.956339999999997</v>
      </c>
      <c r="J203">
        <v>10.22996</v>
      </c>
      <c r="K203">
        <v>5</v>
      </c>
      <c r="L203">
        <v>168.3</v>
      </c>
      <c r="M203">
        <v>10164.398902832751</v>
      </c>
      <c r="N203">
        <v>4</v>
      </c>
      <c r="O203">
        <v>168.3</v>
      </c>
    </row>
    <row r="204" spans="1:15" x14ac:dyDescent="0.25">
      <c r="A204">
        <v>70</v>
      </c>
      <c r="B204" t="s">
        <v>7</v>
      </c>
      <c r="C204" s="1">
        <v>4144</v>
      </c>
      <c r="D204" s="1" t="s">
        <v>38</v>
      </c>
      <c r="E204">
        <v>43.568049999999999</v>
      </c>
      <c r="F204">
        <v>11.529260000000001</v>
      </c>
      <c r="G204" s="1">
        <v>25421</v>
      </c>
      <c r="H204" s="1" t="s">
        <v>41</v>
      </c>
      <c r="I204">
        <v>43.619419999999998</v>
      </c>
      <c r="J204">
        <v>11.47508</v>
      </c>
      <c r="K204">
        <v>2</v>
      </c>
      <c r="L204">
        <v>82.6</v>
      </c>
      <c r="M204">
        <v>6691.1980343133819</v>
      </c>
      <c r="N204">
        <v>1</v>
      </c>
      <c r="O204">
        <v>82.6</v>
      </c>
    </row>
    <row r="205" spans="1:15" x14ac:dyDescent="0.25">
      <c r="A205">
        <v>70</v>
      </c>
      <c r="B205" t="s">
        <v>7</v>
      </c>
      <c r="C205" s="1">
        <v>4144</v>
      </c>
      <c r="D205" s="1" t="s">
        <v>38</v>
      </c>
      <c r="E205">
        <v>43.568049999999999</v>
      </c>
      <c r="F205">
        <v>11.529260000000001</v>
      </c>
      <c r="G205" s="1">
        <v>4142</v>
      </c>
      <c r="H205" s="1" t="s">
        <v>42</v>
      </c>
      <c r="I205">
        <v>43.529310000000002</v>
      </c>
      <c r="J205">
        <v>11.56737</v>
      </c>
      <c r="K205">
        <v>4</v>
      </c>
      <c r="L205">
        <v>244.6</v>
      </c>
      <c r="M205">
        <v>1458.30687271632</v>
      </c>
      <c r="N205">
        <v>1</v>
      </c>
      <c r="O205">
        <v>244.6</v>
      </c>
    </row>
    <row r="206" spans="1:15" x14ac:dyDescent="0.25">
      <c r="A206">
        <v>70</v>
      </c>
      <c r="B206" t="s">
        <v>7</v>
      </c>
      <c r="C206" s="1">
        <v>46445</v>
      </c>
      <c r="D206" s="1" t="s">
        <v>35</v>
      </c>
      <c r="E206">
        <v>43.10801</v>
      </c>
      <c r="F206">
        <v>12.377940000000001</v>
      </c>
      <c r="G206" s="1">
        <v>46468</v>
      </c>
      <c r="H206" s="1" t="s">
        <v>33</v>
      </c>
      <c r="I206">
        <v>43.116489999999999</v>
      </c>
      <c r="J206">
        <v>12.45126</v>
      </c>
      <c r="K206">
        <v>6.000000382345311</v>
      </c>
      <c r="L206">
        <v>339.78891444521008</v>
      </c>
      <c r="M206">
        <v>7194.3139054005114</v>
      </c>
      <c r="N206">
        <v>2</v>
      </c>
      <c r="O206">
        <v>333.4</v>
      </c>
    </row>
    <row r="207" spans="1:15" x14ac:dyDescent="0.25">
      <c r="A207">
        <v>70</v>
      </c>
      <c r="B207" t="s">
        <v>7</v>
      </c>
      <c r="C207" s="1">
        <v>46445</v>
      </c>
      <c r="D207" s="1" t="s">
        <v>35</v>
      </c>
      <c r="E207">
        <v>43.10801</v>
      </c>
      <c r="F207">
        <v>12.377940000000001</v>
      </c>
      <c r="G207" s="1">
        <v>46471</v>
      </c>
      <c r="H207" s="1" t="s">
        <v>34</v>
      </c>
      <c r="I207">
        <v>43.10031</v>
      </c>
      <c r="J207">
        <v>12.318519999999999</v>
      </c>
      <c r="K207">
        <v>7.9999996268486937</v>
      </c>
      <c r="L207">
        <v>377</v>
      </c>
      <c r="M207">
        <v>5420.0405435956563</v>
      </c>
      <c r="N207">
        <v>3</v>
      </c>
      <c r="O207">
        <v>377</v>
      </c>
    </row>
    <row r="208" spans="1:15" x14ac:dyDescent="0.25">
      <c r="A208">
        <v>70</v>
      </c>
      <c r="B208" t="s">
        <v>7</v>
      </c>
      <c r="C208" s="1">
        <v>46471</v>
      </c>
      <c r="D208" s="1" t="s">
        <v>34</v>
      </c>
      <c r="E208">
        <v>43.10031</v>
      </c>
      <c r="F208">
        <v>12.318519999999999</v>
      </c>
      <c r="G208" s="1">
        <v>46445</v>
      </c>
      <c r="H208" s="1" t="s">
        <v>35</v>
      </c>
      <c r="I208">
        <v>43.10801</v>
      </c>
      <c r="J208">
        <v>12.377940000000001</v>
      </c>
      <c r="K208">
        <v>9.9999995346570216</v>
      </c>
      <c r="L208">
        <v>654.17664021867722</v>
      </c>
      <c r="M208">
        <v>0</v>
      </c>
      <c r="N208">
        <v>0</v>
      </c>
      <c r="O208">
        <v>0</v>
      </c>
    </row>
    <row r="209" spans="1:15" x14ac:dyDescent="0.25">
      <c r="A209">
        <v>70</v>
      </c>
      <c r="B209" t="s">
        <v>7</v>
      </c>
      <c r="C209" s="1">
        <v>59131</v>
      </c>
      <c r="D209" s="1" t="s">
        <v>45</v>
      </c>
      <c r="E209">
        <v>43.331879999999998</v>
      </c>
      <c r="F209">
        <v>11.32122</v>
      </c>
      <c r="G209" s="1">
        <v>59157</v>
      </c>
      <c r="H209" s="1" t="s">
        <v>45</v>
      </c>
      <c r="I209">
        <v>43.29034</v>
      </c>
      <c r="J209">
        <v>11.33822</v>
      </c>
      <c r="K209">
        <v>20</v>
      </c>
      <c r="L209">
        <v>1303.42</v>
      </c>
      <c r="M209">
        <v>4.8610229090543999</v>
      </c>
      <c r="N209">
        <v>2</v>
      </c>
      <c r="O209">
        <v>1303.42</v>
      </c>
    </row>
    <row r="210" spans="1:15" x14ac:dyDescent="0.25">
      <c r="A210">
        <v>70</v>
      </c>
      <c r="B210" t="s">
        <v>7</v>
      </c>
      <c r="C210" s="1">
        <v>59157</v>
      </c>
      <c r="D210" s="1" t="s">
        <v>45</v>
      </c>
      <c r="E210">
        <v>43.29034</v>
      </c>
      <c r="F210">
        <v>11.33822</v>
      </c>
      <c r="G210" s="1">
        <v>59131</v>
      </c>
      <c r="H210" s="1" t="s">
        <v>45</v>
      </c>
      <c r="I210">
        <v>43.331879999999998</v>
      </c>
      <c r="J210">
        <v>11.32122</v>
      </c>
      <c r="K210">
        <v>6</v>
      </c>
      <c r="L210">
        <v>396.24562484831961</v>
      </c>
      <c r="M210">
        <v>0</v>
      </c>
      <c r="N210">
        <v>0</v>
      </c>
      <c r="O210">
        <v>0</v>
      </c>
    </row>
    <row r="211" spans="1:15" x14ac:dyDescent="0.25">
      <c r="A211">
        <v>70</v>
      </c>
      <c r="B211" t="s">
        <v>7</v>
      </c>
      <c r="C211" s="1">
        <v>77343</v>
      </c>
      <c r="D211" s="1" t="s">
        <v>43</v>
      </c>
      <c r="E211">
        <v>42.812559999999998</v>
      </c>
      <c r="F211">
        <v>10.31758</v>
      </c>
      <c r="G211" s="1">
        <v>32095</v>
      </c>
      <c r="H211" s="1" t="s">
        <v>43</v>
      </c>
      <c r="I211">
        <v>42.810519999999997</v>
      </c>
      <c r="J211">
        <v>10.30799</v>
      </c>
      <c r="K211">
        <v>3</v>
      </c>
      <c r="L211">
        <v>273.69999999999987</v>
      </c>
      <c r="M211">
        <v>291.661374543264</v>
      </c>
      <c r="N211">
        <v>1</v>
      </c>
      <c r="O211">
        <v>273.7</v>
      </c>
    </row>
    <row r="212" spans="1:15" x14ac:dyDescent="0.25">
      <c r="A212">
        <v>70</v>
      </c>
      <c r="B212" t="s">
        <v>7</v>
      </c>
      <c r="C212" s="1">
        <v>92197</v>
      </c>
      <c r="D212" s="1" t="s">
        <v>53</v>
      </c>
      <c r="E212">
        <v>42.570590000000003</v>
      </c>
      <c r="F212">
        <v>12.632300000000001</v>
      </c>
      <c r="G212" s="1">
        <v>92198</v>
      </c>
      <c r="H212" s="1" t="s">
        <v>48</v>
      </c>
      <c r="I212">
        <v>42.529159999999997</v>
      </c>
      <c r="J212">
        <v>12.51361</v>
      </c>
      <c r="K212">
        <v>21.00000061388409</v>
      </c>
      <c r="L212">
        <v>414.07340027288001</v>
      </c>
      <c r="M212">
        <v>3767.2927545171601</v>
      </c>
      <c r="N212">
        <v>1</v>
      </c>
      <c r="O212">
        <v>238</v>
      </c>
    </row>
    <row r="213" spans="1:15" x14ac:dyDescent="0.25">
      <c r="A213">
        <v>70</v>
      </c>
      <c r="B213" t="s">
        <v>8</v>
      </c>
      <c r="C213" s="1">
        <v>25290</v>
      </c>
      <c r="D213" s="1" t="s">
        <v>32</v>
      </c>
      <c r="E213">
        <v>43.81803</v>
      </c>
      <c r="F213">
        <v>11.211550000000001</v>
      </c>
      <c r="G213" s="1">
        <v>25239</v>
      </c>
      <c r="H213" s="1" t="s">
        <v>31</v>
      </c>
      <c r="I213">
        <v>43.77281</v>
      </c>
      <c r="J213">
        <v>11.29452</v>
      </c>
      <c r="K213">
        <v>130</v>
      </c>
      <c r="L213">
        <v>4987.1000000000004</v>
      </c>
      <c r="M213">
        <v>18228.835908953999</v>
      </c>
      <c r="N213">
        <v>5</v>
      </c>
      <c r="O213">
        <v>4987.1000000000004</v>
      </c>
    </row>
    <row r="214" spans="1:15" x14ac:dyDescent="0.25">
      <c r="A214">
        <v>70</v>
      </c>
      <c r="B214" t="s">
        <v>8</v>
      </c>
      <c r="C214" s="1">
        <v>25290</v>
      </c>
      <c r="D214" s="1" t="s">
        <v>32</v>
      </c>
      <c r="E214">
        <v>43.81803</v>
      </c>
      <c r="F214">
        <v>11.211550000000001</v>
      </c>
      <c r="G214" s="1">
        <v>25398</v>
      </c>
      <c r="H214" s="1" t="s">
        <v>31</v>
      </c>
      <c r="I214">
        <v>43.769460000000002</v>
      </c>
      <c r="J214">
        <v>11.19172</v>
      </c>
      <c r="K214">
        <v>35</v>
      </c>
      <c r="L214">
        <v>2019.7199990376751</v>
      </c>
      <c r="M214">
        <v>11182.78320227965</v>
      </c>
      <c r="N214">
        <v>4</v>
      </c>
      <c r="O214">
        <v>2019.72</v>
      </c>
    </row>
    <row r="215" spans="1:15" x14ac:dyDescent="0.25">
      <c r="A215">
        <v>70</v>
      </c>
      <c r="B215" t="s">
        <v>8</v>
      </c>
      <c r="C215" s="1">
        <v>25290</v>
      </c>
      <c r="D215" s="1" t="s">
        <v>32</v>
      </c>
      <c r="E215">
        <v>43.81803</v>
      </c>
      <c r="F215">
        <v>11.211550000000001</v>
      </c>
      <c r="G215" s="1">
        <v>25400</v>
      </c>
      <c r="H215" s="1" t="s">
        <v>31</v>
      </c>
      <c r="I215">
        <v>43.798690000000001</v>
      </c>
      <c r="J215">
        <v>11.20762</v>
      </c>
      <c r="K215">
        <v>20.000004914420721</v>
      </c>
      <c r="L215">
        <v>1628.7004363767251</v>
      </c>
      <c r="M215">
        <v>7291.5343635815998</v>
      </c>
      <c r="N215">
        <v>5</v>
      </c>
      <c r="O215">
        <v>2695.16</v>
      </c>
    </row>
    <row r="216" spans="1:15" x14ac:dyDescent="0.25">
      <c r="A216">
        <v>70</v>
      </c>
      <c r="B216" t="s">
        <v>8</v>
      </c>
      <c r="C216" s="1">
        <v>25290</v>
      </c>
      <c r="D216" s="1" t="s">
        <v>32</v>
      </c>
      <c r="E216">
        <v>43.81803</v>
      </c>
      <c r="F216">
        <v>11.211550000000001</v>
      </c>
      <c r="G216" s="1">
        <v>25401</v>
      </c>
      <c r="H216" s="1" t="s">
        <v>36</v>
      </c>
      <c r="I216">
        <v>43.87838</v>
      </c>
      <c r="J216">
        <v>11.103210000000001</v>
      </c>
      <c r="K216">
        <v>44</v>
      </c>
      <c r="L216">
        <v>779.60000000000014</v>
      </c>
      <c r="M216">
        <v>10912.99643082713</v>
      </c>
      <c r="N216">
        <v>3</v>
      </c>
      <c r="O216">
        <v>779.59999999999991</v>
      </c>
    </row>
    <row r="217" spans="1:15" x14ac:dyDescent="0.25">
      <c r="A217">
        <v>70</v>
      </c>
      <c r="B217" t="s">
        <v>8</v>
      </c>
      <c r="C217" s="1">
        <v>25290</v>
      </c>
      <c r="D217" s="1" t="s">
        <v>32</v>
      </c>
      <c r="E217">
        <v>43.81803</v>
      </c>
      <c r="F217">
        <v>11.211550000000001</v>
      </c>
      <c r="G217" s="1">
        <v>25417</v>
      </c>
      <c r="H217" s="1" t="s">
        <v>37</v>
      </c>
      <c r="I217">
        <v>43.754040000000003</v>
      </c>
      <c r="J217">
        <v>11.32128</v>
      </c>
      <c r="K217">
        <v>64</v>
      </c>
      <c r="L217">
        <v>973.3</v>
      </c>
      <c r="M217">
        <v>14194.18689443885</v>
      </c>
      <c r="N217">
        <v>2</v>
      </c>
      <c r="O217">
        <v>973.3</v>
      </c>
    </row>
    <row r="218" spans="1:15" x14ac:dyDescent="0.25">
      <c r="A218">
        <v>70</v>
      </c>
      <c r="B218" t="s">
        <v>8</v>
      </c>
      <c r="C218" s="1">
        <v>25398</v>
      </c>
      <c r="D218" s="1" t="s">
        <v>31</v>
      </c>
      <c r="E218">
        <v>43.769460000000002</v>
      </c>
      <c r="F218">
        <v>11.19172</v>
      </c>
      <c r="G218" s="1">
        <v>25239</v>
      </c>
      <c r="H218" s="1" t="s">
        <v>31</v>
      </c>
      <c r="I218">
        <v>43.77281</v>
      </c>
      <c r="J218">
        <v>11.29452</v>
      </c>
      <c r="K218">
        <v>8</v>
      </c>
      <c r="L218">
        <v>133.99999999880669</v>
      </c>
      <c r="M218">
        <v>2916.6137454326399</v>
      </c>
      <c r="N218">
        <v>1</v>
      </c>
      <c r="O218">
        <v>134</v>
      </c>
    </row>
    <row r="219" spans="1:15" x14ac:dyDescent="0.25">
      <c r="A219">
        <v>70</v>
      </c>
      <c r="B219" t="s">
        <v>8</v>
      </c>
      <c r="C219" s="1">
        <v>25398</v>
      </c>
      <c r="D219" s="1" t="s">
        <v>31</v>
      </c>
      <c r="E219">
        <v>43.769460000000002</v>
      </c>
      <c r="F219">
        <v>11.19172</v>
      </c>
      <c r="G219" s="1">
        <v>25290</v>
      </c>
      <c r="H219" s="1" t="s">
        <v>32</v>
      </c>
      <c r="I219">
        <v>43.81803</v>
      </c>
      <c r="J219">
        <v>11.211550000000001</v>
      </c>
      <c r="K219">
        <v>36</v>
      </c>
      <c r="L219">
        <v>37.999999999684633</v>
      </c>
      <c r="M219">
        <v>4377.3511296034876</v>
      </c>
      <c r="N219">
        <v>1</v>
      </c>
      <c r="O219">
        <v>38</v>
      </c>
    </row>
    <row r="220" spans="1:15" x14ac:dyDescent="0.25">
      <c r="A220">
        <v>70</v>
      </c>
      <c r="B220" t="s">
        <v>8</v>
      </c>
      <c r="C220" s="1">
        <v>25400</v>
      </c>
      <c r="D220" s="1" t="s">
        <v>31</v>
      </c>
      <c r="E220">
        <v>43.798690000000001</v>
      </c>
      <c r="F220">
        <v>11.20762</v>
      </c>
      <c r="G220" s="1">
        <v>25290</v>
      </c>
      <c r="H220" s="1" t="s">
        <v>32</v>
      </c>
      <c r="I220">
        <v>43.81803</v>
      </c>
      <c r="J220">
        <v>11.211550000000001</v>
      </c>
      <c r="K220">
        <v>7.0000049141508338</v>
      </c>
      <c r="L220">
        <v>159.9199999729382</v>
      </c>
      <c r="M220">
        <v>2673.5625999799199</v>
      </c>
      <c r="N220">
        <v>2</v>
      </c>
      <c r="O220">
        <v>159.91999999999999</v>
      </c>
    </row>
    <row r="221" spans="1:15" x14ac:dyDescent="0.25">
      <c r="A221">
        <v>70</v>
      </c>
      <c r="B221" t="s">
        <v>8</v>
      </c>
      <c r="C221" s="1">
        <v>25400</v>
      </c>
      <c r="D221" s="1" t="s">
        <v>31</v>
      </c>
      <c r="E221">
        <v>43.798690000000001</v>
      </c>
      <c r="F221">
        <v>11.20762</v>
      </c>
      <c r="G221" s="1">
        <v>25398</v>
      </c>
      <c r="H221" s="1" t="s">
        <v>31</v>
      </c>
      <c r="I221">
        <v>43.769460000000002</v>
      </c>
      <c r="J221">
        <v>11.19172</v>
      </c>
      <c r="K221">
        <v>13</v>
      </c>
      <c r="L221">
        <v>961.39999997151074</v>
      </c>
      <c r="M221">
        <v>2989.529089068456</v>
      </c>
      <c r="N221">
        <v>2</v>
      </c>
      <c r="O221">
        <v>961.4</v>
      </c>
    </row>
    <row r="222" spans="1:15" x14ac:dyDescent="0.25">
      <c r="A222">
        <v>70</v>
      </c>
      <c r="B222" t="s">
        <v>8</v>
      </c>
      <c r="C222" s="1">
        <v>25401</v>
      </c>
      <c r="D222" s="1" t="s">
        <v>36</v>
      </c>
      <c r="E222">
        <v>43.87838</v>
      </c>
      <c r="F222">
        <v>11.103210000000001</v>
      </c>
      <c r="G222" s="1">
        <v>25290</v>
      </c>
      <c r="H222" s="1" t="s">
        <v>32</v>
      </c>
      <c r="I222">
        <v>43.81803</v>
      </c>
      <c r="J222">
        <v>11.211550000000001</v>
      </c>
      <c r="K222">
        <v>18</v>
      </c>
      <c r="L222">
        <v>58.8</v>
      </c>
      <c r="M222">
        <v>3767.2927545171601</v>
      </c>
      <c r="N222">
        <v>1</v>
      </c>
      <c r="O222">
        <v>58.8</v>
      </c>
    </row>
    <row r="223" spans="1:15" x14ac:dyDescent="0.25">
      <c r="A223">
        <v>70</v>
      </c>
      <c r="B223" t="s">
        <v>8</v>
      </c>
      <c r="C223" s="1">
        <v>25401</v>
      </c>
      <c r="D223" s="1" t="s">
        <v>36</v>
      </c>
      <c r="E223">
        <v>43.87838</v>
      </c>
      <c r="F223">
        <v>11.103210000000001</v>
      </c>
      <c r="G223" s="1">
        <v>25433</v>
      </c>
      <c r="H223" s="1" t="s">
        <v>44</v>
      </c>
      <c r="I223">
        <v>43.923850000000002</v>
      </c>
      <c r="J223">
        <v>11.03511</v>
      </c>
      <c r="K223">
        <v>18</v>
      </c>
      <c r="L223">
        <v>791.99999999633064</v>
      </c>
      <c r="M223">
        <v>2916.6137454326399</v>
      </c>
      <c r="N223">
        <v>1</v>
      </c>
      <c r="O223">
        <v>792</v>
      </c>
    </row>
    <row r="224" spans="1:15" x14ac:dyDescent="0.25">
      <c r="A224">
        <v>70</v>
      </c>
      <c r="B224" t="s">
        <v>8</v>
      </c>
      <c r="C224" s="1">
        <v>25421</v>
      </c>
      <c r="D224" s="1" t="s">
        <v>41</v>
      </c>
      <c r="E224">
        <v>43.619419999999998</v>
      </c>
      <c r="F224">
        <v>11.47508</v>
      </c>
      <c r="G224" s="1">
        <v>4142</v>
      </c>
      <c r="H224" s="1" t="s">
        <v>42</v>
      </c>
      <c r="I224">
        <v>43.529310000000002</v>
      </c>
      <c r="J224">
        <v>11.56737</v>
      </c>
      <c r="K224">
        <v>14</v>
      </c>
      <c r="L224">
        <v>86.399999999997647</v>
      </c>
      <c r="M224">
        <v>3645.7671817907999</v>
      </c>
      <c r="N224">
        <v>1</v>
      </c>
      <c r="O224">
        <v>86.4</v>
      </c>
    </row>
    <row r="225" spans="1:15" x14ac:dyDescent="0.25">
      <c r="A225">
        <v>70</v>
      </c>
      <c r="B225" t="s">
        <v>8</v>
      </c>
      <c r="C225" s="1">
        <v>25421</v>
      </c>
      <c r="D225" s="1" t="s">
        <v>41</v>
      </c>
      <c r="E225">
        <v>43.619419999999998</v>
      </c>
      <c r="F225">
        <v>11.47508</v>
      </c>
      <c r="G225" s="1">
        <v>4144</v>
      </c>
      <c r="H225" s="1" t="s">
        <v>38</v>
      </c>
      <c r="I225">
        <v>43.568049999999999</v>
      </c>
      <c r="J225">
        <v>11.529260000000001</v>
      </c>
      <c r="K225">
        <v>18</v>
      </c>
      <c r="L225">
        <v>194.3999999996762</v>
      </c>
      <c r="M225">
        <v>2187.4603090744799</v>
      </c>
      <c r="N225">
        <v>1</v>
      </c>
      <c r="O225">
        <v>194.4</v>
      </c>
    </row>
    <row r="226" spans="1:15" x14ac:dyDescent="0.25">
      <c r="A226">
        <v>70</v>
      </c>
      <c r="B226" t="s">
        <v>8</v>
      </c>
      <c r="C226" s="1">
        <v>32094</v>
      </c>
      <c r="D226" s="1" t="s">
        <v>54</v>
      </c>
      <c r="E226">
        <v>43.304879999999997</v>
      </c>
      <c r="F226">
        <v>10.5182</v>
      </c>
      <c r="G226" s="1">
        <v>32098</v>
      </c>
      <c r="H226" s="1" t="s">
        <v>50</v>
      </c>
      <c r="I226">
        <v>43.393940000000001</v>
      </c>
      <c r="J226">
        <v>10.43547</v>
      </c>
      <c r="K226">
        <v>7</v>
      </c>
      <c r="L226">
        <v>70.8</v>
      </c>
      <c r="M226">
        <v>2189.8908205290072</v>
      </c>
      <c r="N226">
        <v>1</v>
      </c>
      <c r="O226">
        <v>70.8</v>
      </c>
    </row>
    <row r="227" spans="1:15" x14ac:dyDescent="0.25">
      <c r="A227">
        <v>70</v>
      </c>
      <c r="B227" t="s">
        <v>8</v>
      </c>
      <c r="C227" s="1">
        <v>33212</v>
      </c>
      <c r="D227" s="1" t="s">
        <v>46</v>
      </c>
      <c r="E227">
        <v>43.844110000000001</v>
      </c>
      <c r="F227">
        <v>10.525460000000001</v>
      </c>
      <c r="G227" s="1">
        <v>77150</v>
      </c>
      <c r="H227" s="1" t="s">
        <v>46</v>
      </c>
      <c r="I227">
        <v>43.860230000000001</v>
      </c>
      <c r="J227">
        <v>10.51596</v>
      </c>
      <c r="K227">
        <v>2</v>
      </c>
      <c r="L227">
        <v>153</v>
      </c>
      <c r="M227">
        <v>1069.4250399919681</v>
      </c>
      <c r="N227">
        <v>1</v>
      </c>
      <c r="O227">
        <v>153</v>
      </c>
    </row>
    <row r="228" spans="1:15" x14ac:dyDescent="0.25">
      <c r="A228">
        <v>70</v>
      </c>
      <c r="B228" t="s">
        <v>8</v>
      </c>
      <c r="C228" s="1">
        <v>33214</v>
      </c>
      <c r="D228" s="1" t="s">
        <v>51</v>
      </c>
      <c r="E228">
        <v>43.868270000000003</v>
      </c>
      <c r="F228">
        <v>10.252879999999999</v>
      </c>
      <c r="G228" s="1">
        <v>33220</v>
      </c>
      <c r="H228" s="1" t="s">
        <v>39</v>
      </c>
      <c r="I228">
        <v>43.894159999999999</v>
      </c>
      <c r="J228">
        <v>10.22714</v>
      </c>
      <c r="K228">
        <v>3</v>
      </c>
      <c r="L228">
        <v>210.7</v>
      </c>
      <c r="M228">
        <v>4642.2768781469513</v>
      </c>
      <c r="N228">
        <v>4</v>
      </c>
      <c r="O228">
        <v>210.7</v>
      </c>
    </row>
    <row r="229" spans="1:15" x14ac:dyDescent="0.25">
      <c r="A229">
        <v>70</v>
      </c>
      <c r="B229" t="s">
        <v>8</v>
      </c>
      <c r="C229" s="1">
        <v>33218</v>
      </c>
      <c r="D229" s="1" t="s">
        <v>52</v>
      </c>
      <c r="E229">
        <v>44.033050000000003</v>
      </c>
      <c r="F229">
        <v>10.50367</v>
      </c>
      <c r="G229" s="1">
        <v>33219</v>
      </c>
      <c r="H229" s="1" t="s">
        <v>47</v>
      </c>
      <c r="I229">
        <v>44.110500000000002</v>
      </c>
      <c r="J229">
        <v>10.41159</v>
      </c>
      <c r="K229">
        <v>24</v>
      </c>
      <c r="L229">
        <v>358.5</v>
      </c>
      <c r="M229">
        <v>4131.8694726962403</v>
      </c>
      <c r="N229">
        <v>1</v>
      </c>
      <c r="O229">
        <v>358.5</v>
      </c>
    </row>
    <row r="230" spans="1:15" x14ac:dyDescent="0.25">
      <c r="A230">
        <v>70</v>
      </c>
      <c r="B230" t="s">
        <v>8</v>
      </c>
      <c r="C230" s="1">
        <v>33220</v>
      </c>
      <c r="D230" s="1" t="s">
        <v>39</v>
      </c>
      <c r="E230">
        <v>43.894159999999999</v>
      </c>
      <c r="F230">
        <v>10.22714</v>
      </c>
      <c r="G230" s="1">
        <v>33221</v>
      </c>
      <c r="H230" s="1" t="s">
        <v>40</v>
      </c>
      <c r="I230">
        <v>43.956339999999997</v>
      </c>
      <c r="J230">
        <v>10.22996</v>
      </c>
      <c r="K230">
        <v>5</v>
      </c>
      <c r="L230">
        <v>168.3</v>
      </c>
      <c r="M230">
        <v>10164.398902832751</v>
      </c>
      <c r="N230">
        <v>4</v>
      </c>
      <c r="O230">
        <v>168.3</v>
      </c>
    </row>
    <row r="231" spans="1:15" x14ac:dyDescent="0.25">
      <c r="A231">
        <v>70</v>
      </c>
      <c r="B231" t="s">
        <v>8</v>
      </c>
      <c r="C231" s="1">
        <v>4144</v>
      </c>
      <c r="D231" s="1" t="s">
        <v>38</v>
      </c>
      <c r="E231">
        <v>43.568049999999999</v>
      </c>
      <c r="F231">
        <v>11.529260000000001</v>
      </c>
      <c r="G231" s="1">
        <v>25421</v>
      </c>
      <c r="H231" s="1" t="s">
        <v>41</v>
      </c>
      <c r="I231">
        <v>43.619419999999998</v>
      </c>
      <c r="J231">
        <v>11.47508</v>
      </c>
      <c r="K231">
        <v>11</v>
      </c>
      <c r="L231">
        <v>82.599999998955894</v>
      </c>
      <c r="M231">
        <v>6691.1980343133819</v>
      </c>
      <c r="N231">
        <v>1</v>
      </c>
      <c r="O231">
        <v>82.6</v>
      </c>
    </row>
    <row r="232" spans="1:15" x14ac:dyDescent="0.25">
      <c r="A232">
        <v>70</v>
      </c>
      <c r="B232" t="s">
        <v>8</v>
      </c>
      <c r="C232" s="1">
        <v>4144</v>
      </c>
      <c r="D232" s="1" t="s">
        <v>38</v>
      </c>
      <c r="E232">
        <v>43.568049999999999</v>
      </c>
      <c r="F232">
        <v>11.529260000000001</v>
      </c>
      <c r="G232" s="1">
        <v>4142</v>
      </c>
      <c r="H232" s="1" t="s">
        <v>42</v>
      </c>
      <c r="I232">
        <v>43.529310000000002</v>
      </c>
      <c r="J232">
        <v>11.56737</v>
      </c>
      <c r="K232">
        <v>7</v>
      </c>
      <c r="L232">
        <v>244.59999999982131</v>
      </c>
      <c r="M232">
        <v>1458.30687271632</v>
      </c>
      <c r="N232">
        <v>1</v>
      </c>
      <c r="O232">
        <v>244.6</v>
      </c>
    </row>
    <row r="233" spans="1:15" x14ac:dyDescent="0.25">
      <c r="A233">
        <v>70</v>
      </c>
      <c r="B233" t="s">
        <v>8</v>
      </c>
      <c r="C233" s="1">
        <v>46445</v>
      </c>
      <c r="D233" s="1" t="s">
        <v>35</v>
      </c>
      <c r="E233">
        <v>43.10801</v>
      </c>
      <c r="F233">
        <v>12.377940000000001</v>
      </c>
      <c r="G233" s="1">
        <v>46468</v>
      </c>
      <c r="H233" s="1" t="s">
        <v>33</v>
      </c>
      <c r="I233">
        <v>43.116489999999999</v>
      </c>
      <c r="J233">
        <v>12.45126</v>
      </c>
      <c r="K233">
        <v>7</v>
      </c>
      <c r="L233">
        <v>369.39999999876852</v>
      </c>
      <c r="M233">
        <v>9381.7742144749918</v>
      </c>
      <c r="N233">
        <v>3</v>
      </c>
      <c r="O233">
        <v>369.4</v>
      </c>
    </row>
    <row r="234" spans="1:15" x14ac:dyDescent="0.25">
      <c r="A234">
        <v>70</v>
      </c>
      <c r="B234" t="s">
        <v>8</v>
      </c>
      <c r="C234" s="1">
        <v>46445</v>
      </c>
      <c r="D234" s="1" t="s">
        <v>35</v>
      </c>
      <c r="E234">
        <v>43.10801</v>
      </c>
      <c r="F234">
        <v>12.377940000000001</v>
      </c>
      <c r="G234" s="1">
        <v>46471</v>
      </c>
      <c r="H234" s="1" t="s">
        <v>34</v>
      </c>
      <c r="I234">
        <v>43.10031</v>
      </c>
      <c r="J234">
        <v>12.318519999999999</v>
      </c>
      <c r="K234">
        <v>9</v>
      </c>
      <c r="L234">
        <v>376.99999999975978</v>
      </c>
      <c r="M234">
        <v>5420.0405435956563</v>
      </c>
      <c r="N234">
        <v>3</v>
      </c>
      <c r="O234">
        <v>377</v>
      </c>
    </row>
    <row r="235" spans="1:15" x14ac:dyDescent="0.25">
      <c r="A235">
        <v>70</v>
      </c>
      <c r="B235" t="s">
        <v>8</v>
      </c>
      <c r="C235" s="1">
        <v>46471</v>
      </c>
      <c r="D235" s="1" t="s">
        <v>34</v>
      </c>
      <c r="E235">
        <v>43.10031</v>
      </c>
      <c r="F235">
        <v>12.318519999999999</v>
      </c>
      <c r="G235" s="1">
        <v>46445</v>
      </c>
      <c r="H235" s="1" t="s">
        <v>35</v>
      </c>
      <c r="I235">
        <v>43.10801</v>
      </c>
      <c r="J235">
        <v>12.377940000000001</v>
      </c>
      <c r="K235">
        <v>11</v>
      </c>
      <c r="L235">
        <v>678.88</v>
      </c>
      <c r="M235">
        <v>1701.35801816904</v>
      </c>
      <c r="N235">
        <v>1</v>
      </c>
      <c r="O235">
        <v>678.88</v>
      </c>
    </row>
    <row r="236" spans="1:15" x14ac:dyDescent="0.25">
      <c r="A236">
        <v>70</v>
      </c>
      <c r="B236" t="s">
        <v>8</v>
      </c>
      <c r="C236" s="1">
        <v>59131</v>
      </c>
      <c r="D236" s="1" t="s">
        <v>45</v>
      </c>
      <c r="E236">
        <v>43.331879999999998</v>
      </c>
      <c r="F236">
        <v>11.32122</v>
      </c>
      <c r="G236" s="1">
        <v>59157</v>
      </c>
      <c r="H236" s="1" t="s">
        <v>45</v>
      </c>
      <c r="I236">
        <v>43.29034</v>
      </c>
      <c r="J236">
        <v>11.33822</v>
      </c>
      <c r="K236">
        <v>20</v>
      </c>
      <c r="L236">
        <v>1303.42</v>
      </c>
      <c r="M236">
        <v>4.8610229090543999</v>
      </c>
      <c r="N236">
        <v>2</v>
      </c>
      <c r="O236">
        <v>1303.42</v>
      </c>
    </row>
    <row r="237" spans="1:15" x14ac:dyDescent="0.25">
      <c r="A237">
        <v>70</v>
      </c>
      <c r="B237" t="s">
        <v>8</v>
      </c>
      <c r="C237" s="1">
        <v>59157</v>
      </c>
      <c r="D237" s="1" t="s">
        <v>45</v>
      </c>
      <c r="E237">
        <v>43.29034</v>
      </c>
      <c r="F237">
        <v>11.33822</v>
      </c>
      <c r="G237" s="1">
        <v>59131</v>
      </c>
      <c r="H237" s="1" t="s">
        <v>45</v>
      </c>
      <c r="I237">
        <v>43.331879999999998</v>
      </c>
      <c r="J237">
        <v>11.32122</v>
      </c>
      <c r="K237">
        <v>8</v>
      </c>
      <c r="L237">
        <v>408.4</v>
      </c>
      <c r="M237">
        <v>2187.4603090744799</v>
      </c>
      <c r="N237">
        <v>1</v>
      </c>
      <c r="O237">
        <v>408.4</v>
      </c>
    </row>
    <row r="238" spans="1:15" x14ac:dyDescent="0.25">
      <c r="A238">
        <v>70</v>
      </c>
      <c r="B238" t="s">
        <v>8</v>
      </c>
      <c r="C238" s="1">
        <v>85210</v>
      </c>
      <c r="D238" s="1" t="s">
        <v>49</v>
      </c>
      <c r="E238">
        <v>43.928640000000001</v>
      </c>
      <c r="F238">
        <v>10.9284</v>
      </c>
      <c r="G238" s="1">
        <v>77334</v>
      </c>
      <c r="H238" s="1" t="s">
        <v>49</v>
      </c>
      <c r="I238">
        <v>43.939680000000003</v>
      </c>
      <c r="J238">
        <v>10.943490000000001</v>
      </c>
      <c r="K238">
        <v>1</v>
      </c>
      <c r="L238">
        <v>37</v>
      </c>
      <c r="M238">
        <v>850.67900908451998</v>
      </c>
      <c r="N238">
        <v>1</v>
      </c>
      <c r="O238">
        <v>37</v>
      </c>
    </row>
    <row r="239" spans="1:15" x14ac:dyDescent="0.25">
      <c r="A239">
        <v>70</v>
      </c>
      <c r="B239" t="s">
        <v>8</v>
      </c>
      <c r="C239" s="1">
        <v>92197</v>
      </c>
      <c r="D239" s="1" t="s">
        <v>53</v>
      </c>
      <c r="E239">
        <v>42.570590000000003</v>
      </c>
      <c r="F239">
        <v>12.632300000000001</v>
      </c>
      <c r="G239" s="1">
        <v>92198</v>
      </c>
      <c r="H239" s="1" t="s">
        <v>48</v>
      </c>
      <c r="I239">
        <v>42.529159999999997</v>
      </c>
      <c r="J239">
        <v>12.51361</v>
      </c>
      <c r="K239">
        <v>28</v>
      </c>
      <c r="L239">
        <v>475</v>
      </c>
      <c r="M239">
        <v>7218.6190199457833</v>
      </c>
      <c r="N239">
        <v>2</v>
      </c>
      <c r="O239">
        <v>475</v>
      </c>
    </row>
    <row r="240" spans="1:15" x14ac:dyDescent="0.25">
      <c r="A240">
        <v>70</v>
      </c>
      <c r="B240" t="s">
        <v>9</v>
      </c>
      <c r="C240" s="1">
        <v>25290</v>
      </c>
      <c r="D240" s="1" t="s">
        <v>32</v>
      </c>
      <c r="E240">
        <v>43.81803</v>
      </c>
      <c r="F240">
        <v>11.211550000000001</v>
      </c>
      <c r="G240" s="1">
        <v>25239</v>
      </c>
      <c r="H240" s="1" t="s">
        <v>31</v>
      </c>
      <c r="I240">
        <v>43.77281</v>
      </c>
      <c r="J240">
        <v>11.29452</v>
      </c>
      <c r="K240">
        <v>130</v>
      </c>
      <c r="L240">
        <v>4987.1000000000004</v>
      </c>
      <c r="M240">
        <v>18228.835908953999</v>
      </c>
      <c r="N240">
        <v>5</v>
      </c>
      <c r="O240">
        <v>4987.1000000000004</v>
      </c>
    </row>
    <row r="241" spans="1:15" x14ac:dyDescent="0.25">
      <c r="A241">
        <v>70</v>
      </c>
      <c r="B241" t="s">
        <v>9</v>
      </c>
      <c r="C241" s="1">
        <v>25290</v>
      </c>
      <c r="D241" s="1" t="s">
        <v>32</v>
      </c>
      <c r="E241">
        <v>43.81803</v>
      </c>
      <c r="F241">
        <v>11.211550000000001</v>
      </c>
      <c r="G241" s="1">
        <v>25398</v>
      </c>
      <c r="H241" s="1" t="s">
        <v>31</v>
      </c>
      <c r="I241">
        <v>43.769460000000002</v>
      </c>
      <c r="J241">
        <v>11.19172</v>
      </c>
      <c r="K241">
        <v>35</v>
      </c>
      <c r="L241">
        <v>2019.72</v>
      </c>
      <c r="M241">
        <v>11182.78320227965</v>
      </c>
      <c r="N241">
        <v>4</v>
      </c>
      <c r="O241">
        <v>2019.72</v>
      </c>
    </row>
    <row r="242" spans="1:15" x14ac:dyDescent="0.25">
      <c r="A242">
        <v>70</v>
      </c>
      <c r="B242" t="s">
        <v>9</v>
      </c>
      <c r="C242" s="1">
        <v>25290</v>
      </c>
      <c r="D242" s="1" t="s">
        <v>32</v>
      </c>
      <c r="E242">
        <v>43.81803</v>
      </c>
      <c r="F242">
        <v>11.211550000000001</v>
      </c>
      <c r="G242" s="1">
        <v>25400</v>
      </c>
      <c r="H242" s="1" t="s">
        <v>31</v>
      </c>
      <c r="I242">
        <v>43.798690000000001</v>
      </c>
      <c r="J242">
        <v>11.20762</v>
      </c>
      <c r="K242">
        <v>73</v>
      </c>
      <c r="L242">
        <v>6189.96</v>
      </c>
      <c r="M242">
        <v>10086.622536287879</v>
      </c>
      <c r="N242">
        <v>7</v>
      </c>
      <c r="O242">
        <v>6189.96</v>
      </c>
    </row>
    <row r="243" spans="1:15" x14ac:dyDescent="0.25">
      <c r="A243">
        <v>70</v>
      </c>
      <c r="B243" t="s">
        <v>9</v>
      </c>
      <c r="C243" s="1">
        <v>25290</v>
      </c>
      <c r="D243" s="1" t="s">
        <v>32</v>
      </c>
      <c r="E243">
        <v>43.81803</v>
      </c>
      <c r="F243">
        <v>11.211550000000001</v>
      </c>
      <c r="G243" s="1">
        <v>25401</v>
      </c>
      <c r="H243" s="1" t="s">
        <v>36</v>
      </c>
      <c r="I243">
        <v>43.87838</v>
      </c>
      <c r="J243">
        <v>11.103210000000001</v>
      </c>
      <c r="K243">
        <v>44</v>
      </c>
      <c r="L243">
        <v>792.42622489733185</v>
      </c>
      <c r="M243">
        <v>10912.99643082713</v>
      </c>
      <c r="N243">
        <v>3</v>
      </c>
      <c r="O243">
        <v>779.59999999999991</v>
      </c>
    </row>
    <row r="244" spans="1:15" x14ac:dyDescent="0.25">
      <c r="A244">
        <v>70</v>
      </c>
      <c r="B244" t="s">
        <v>9</v>
      </c>
      <c r="C244" s="1">
        <v>25290</v>
      </c>
      <c r="D244" s="1" t="s">
        <v>32</v>
      </c>
      <c r="E244">
        <v>43.81803</v>
      </c>
      <c r="F244">
        <v>11.211550000000001</v>
      </c>
      <c r="G244" s="1">
        <v>25417</v>
      </c>
      <c r="H244" s="1" t="s">
        <v>37</v>
      </c>
      <c r="I244">
        <v>43.754040000000003</v>
      </c>
      <c r="J244">
        <v>11.32128</v>
      </c>
      <c r="K244">
        <v>5</v>
      </c>
      <c r="L244">
        <v>64.900000000000006</v>
      </c>
      <c r="M244">
        <v>7097.093447219424</v>
      </c>
      <c r="N244">
        <v>1</v>
      </c>
      <c r="O244">
        <v>64.900000000000006</v>
      </c>
    </row>
    <row r="245" spans="1:15" x14ac:dyDescent="0.25">
      <c r="A245">
        <v>70</v>
      </c>
      <c r="B245" t="s">
        <v>9</v>
      </c>
      <c r="C245" s="1">
        <v>25398</v>
      </c>
      <c r="D245" s="1" t="s">
        <v>31</v>
      </c>
      <c r="E245">
        <v>43.769460000000002</v>
      </c>
      <c r="F245">
        <v>11.19172</v>
      </c>
      <c r="G245" s="1">
        <v>25239</v>
      </c>
      <c r="H245" s="1" t="s">
        <v>31</v>
      </c>
      <c r="I245">
        <v>43.77281</v>
      </c>
      <c r="J245">
        <v>11.29452</v>
      </c>
      <c r="K245">
        <v>4</v>
      </c>
      <c r="L245">
        <v>134</v>
      </c>
      <c r="M245">
        <v>2916.6137454326399</v>
      </c>
      <c r="N245">
        <v>1</v>
      </c>
      <c r="O245">
        <v>134</v>
      </c>
    </row>
    <row r="246" spans="1:15" x14ac:dyDescent="0.25">
      <c r="A246">
        <v>70</v>
      </c>
      <c r="B246" t="s">
        <v>9</v>
      </c>
      <c r="C246" s="1">
        <v>25398</v>
      </c>
      <c r="D246" s="1" t="s">
        <v>31</v>
      </c>
      <c r="E246">
        <v>43.769460000000002</v>
      </c>
      <c r="F246">
        <v>11.19172</v>
      </c>
      <c r="G246" s="1">
        <v>25290</v>
      </c>
      <c r="H246" s="1" t="s">
        <v>32</v>
      </c>
      <c r="I246">
        <v>43.81803</v>
      </c>
      <c r="J246">
        <v>11.211550000000001</v>
      </c>
      <c r="K246">
        <v>40</v>
      </c>
      <c r="L246">
        <v>38</v>
      </c>
      <c r="M246">
        <v>4377.3511296034876</v>
      </c>
      <c r="N246">
        <v>1</v>
      </c>
      <c r="O246">
        <v>38</v>
      </c>
    </row>
    <row r="247" spans="1:15" x14ac:dyDescent="0.25">
      <c r="A247">
        <v>70</v>
      </c>
      <c r="B247" t="s">
        <v>9</v>
      </c>
      <c r="C247" s="1">
        <v>25400</v>
      </c>
      <c r="D247" s="1" t="s">
        <v>31</v>
      </c>
      <c r="E247">
        <v>43.798690000000001</v>
      </c>
      <c r="F247">
        <v>11.20762</v>
      </c>
      <c r="G247" s="1">
        <v>25290</v>
      </c>
      <c r="H247" s="1" t="s">
        <v>32</v>
      </c>
      <c r="I247">
        <v>43.81803</v>
      </c>
      <c r="J247">
        <v>11.211550000000001</v>
      </c>
      <c r="K247">
        <v>60</v>
      </c>
      <c r="L247">
        <v>159.91999999999999</v>
      </c>
      <c r="M247">
        <v>2673.5625999799199</v>
      </c>
      <c r="N247">
        <v>2</v>
      </c>
      <c r="O247">
        <v>159.91999999999999</v>
      </c>
    </row>
    <row r="248" spans="1:15" x14ac:dyDescent="0.25">
      <c r="A248">
        <v>70</v>
      </c>
      <c r="B248" t="s">
        <v>9</v>
      </c>
      <c r="C248" s="1">
        <v>25400</v>
      </c>
      <c r="D248" s="1" t="s">
        <v>31</v>
      </c>
      <c r="E248">
        <v>43.798690000000001</v>
      </c>
      <c r="F248">
        <v>11.20762</v>
      </c>
      <c r="G248" s="1">
        <v>25398</v>
      </c>
      <c r="H248" s="1" t="s">
        <v>31</v>
      </c>
      <c r="I248">
        <v>43.769460000000002</v>
      </c>
      <c r="J248">
        <v>11.19172</v>
      </c>
      <c r="K248">
        <v>13</v>
      </c>
      <c r="L248">
        <v>961.4</v>
      </c>
      <c r="M248">
        <v>2989.529089068456</v>
      </c>
      <c r="N248">
        <v>2</v>
      </c>
      <c r="O248">
        <v>961.4</v>
      </c>
    </row>
    <row r="249" spans="1:15" x14ac:dyDescent="0.25">
      <c r="A249">
        <v>70</v>
      </c>
      <c r="B249" t="s">
        <v>9</v>
      </c>
      <c r="C249" s="1">
        <v>25401</v>
      </c>
      <c r="D249" s="1" t="s">
        <v>36</v>
      </c>
      <c r="E249">
        <v>43.87838</v>
      </c>
      <c r="F249">
        <v>11.103210000000001</v>
      </c>
      <c r="G249" s="1">
        <v>25290</v>
      </c>
      <c r="H249" s="1" t="s">
        <v>32</v>
      </c>
      <c r="I249">
        <v>43.81803</v>
      </c>
      <c r="J249">
        <v>11.211550000000001</v>
      </c>
      <c r="K249">
        <v>18</v>
      </c>
      <c r="L249">
        <v>58.8</v>
      </c>
      <c r="M249">
        <v>3767.2927545171601</v>
      </c>
      <c r="N249">
        <v>1</v>
      </c>
      <c r="O249">
        <v>58.8</v>
      </c>
    </row>
    <row r="250" spans="1:15" x14ac:dyDescent="0.25">
      <c r="A250">
        <v>70</v>
      </c>
      <c r="B250" t="s">
        <v>9</v>
      </c>
      <c r="C250" s="1">
        <v>25401</v>
      </c>
      <c r="D250" s="1" t="s">
        <v>36</v>
      </c>
      <c r="E250">
        <v>43.87838</v>
      </c>
      <c r="F250">
        <v>11.103210000000001</v>
      </c>
      <c r="G250" s="1">
        <v>25433</v>
      </c>
      <c r="H250" s="1" t="s">
        <v>44</v>
      </c>
      <c r="I250">
        <v>43.923850000000002</v>
      </c>
      <c r="J250">
        <v>11.03511</v>
      </c>
      <c r="K250">
        <v>18</v>
      </c>
      <c r="L250">
        <v>792</v>
      </c>
      <c r="M250">
        <v>2916.6137454326399</v>
      </c>
      <c r="N250">
        <v>1</v>
      </c>
      <c r="O250">
        <v>792</v>
      </c>
    </row>
    <row r="251" spans="1:15" x14ac:dyDescent="0.25">
      <c r="A251">
        <v>70</v>
      </c>
      <c r="B251" t="s">
        <v>9</v>
      </c>
      <c r="C251" s="1">
        <v>25421</v>
      </c>
      <c r="D251" s="1" t="s">
        <v>41</v>
      </c>
      <c r="E251">
        <v>43.619419999999998</v>
      </c>
      <c r="F251">
        <v>11.47508</v>
      </c>
      <c r="G251" s="1">
        <v>4142</v>
      </c>
      <c r="H251" s="1" t="s">
        <v>42</v>
      </c>
      <c r="I251">
        <v>43.529310000000002</v>
      </c>
      <c r="J251">
        <v>11.56737</v>
      </c>
      <c r="K251">
        <v>14</v>
      </c>
      <c r="L251">
        <v>86.40000000000002</v>
      </c>
      <c r="M251">
        <v>3645.7671817907999</v>
      </c>
      <c r="N251">
        <v>1</v>
      </c>
      <c r="O251">
        <v>86.4</v>
      </c>
    </row>
    <row r="252" spans="1:15" x14ac:dyDescent="0.25">
      <c r="A252">
        <v>70</v>
      </c>
      <c r="B252" t="s">
        <v>9</v>
      </c>
      <c r="C252" s="1">
        <v>25421</v>
      </c>
      <c r="D252" s="1" t="s">
        <v>41</v>
      </c>
      <c r="E252">
        <v>43.619419999999998</v>
      </c>
      <c r="F252">
        <v>11.47508</v>
      </c>
      <c r="G252" s="1">
        <v>4144</v>
      </c>
      <c r="H252" s="1" t="s">
        <v>38</v>
      </c>
      <c r="I252">
        <v>43.568049999999999</v>
      </c>
      <c r="J252">
        <v>11.529260000000001</v>
      </c>
      <c r="K252">
        <v>5</v>
      </c>
      <c r="L252">
        <v>194.4</v>
      </c>
      <c r="M252">
        <v>2187.4603090744799</v>
      </c>
      <c r="N252">
        <v>1</v>
      </c>
      <c r="O252">
        <v>194.4</v>
      </c>
    </row>
    <row r="253" spans="1:15" x14ac:dyDescent="0.25">
      <c r="A253">
        <v>70</v>
      </c>
      <c r="B253" t="s">
        <v>9</v>
      </c>
      <c r="C253" s="1">
        <v>32094</v>
      </c>
      <c r="D253" s="1" t="s">
        <v>54</v>
      </c>
      <c r="E253">
        <v>43.304879999999997</v>
      </c>
      <c r="F253">
        <v>10.5182</v>
      </c>
      <c r="G253" s="1">
        <v>32098</v>
      </c>
      <c r="H253" s="1" t="s">
        <v>50</v>
      </c>
      <c r="I253">
        <v>43.393940000000001</v>
      </c>
      <c r="J253">
        <v>10.43547</v>
      </c>
      <c r="K253">
        <v>8</v>
      </c>
      <c r="L253">
        <v>70.8</v>
      </c>
      <c r="M253">
        <v>2189.8908205290072</v>
      </c>
      <c r="N253">
        <v>1</v>
      </c>
      <c r="O253">
        <v>70.8</v>
      </c>
    </row>
    <row r="254" spans="1:15" x14ac:dyDescent="0.25">
      <c r="A254">
        <v>70</v>
      </c>
      <c r="B254" t="s">
        <v>9</v>
      </c>
      <c r="C254" s="1">
        <v>33212</v>
      </c>
      <c r="D254" s="1" t="s">
        <v>46</v>
      </c>
      <c r="E254">
        <v>43.844110000000001</v>
      </c>
      <c r="F254">
        <v>10.525460000000001</v>
      </c>
      <c r="G254" s="1">
        <v>77150</v>
      </c>
      <c r="H254" s="1" t="s">
        <v>46</v>
      </c>
      <c r="I254">
        <v>43.860230000000001</v>
      </c>
      <c r="J254">
        <v>10.51596</v>
      </c>
      <c r="K254">
        <v>3</v>
      </c>
      <c r="L254">
        <v>153</v>
      </c>
      <c r="M254">
        <v>1069.4250399919681</v>
      </c>
      <c r="N254">
        <v>1</v>
      </c>
      <c r="O254">
        <v>153</v>
      </c>
    </row>
    <row r="255" spans="1:15" x14ac:dyDescent="0.25">
      <c r="A255">
        <v>70</v>
      </c>
      <c r="B255" t="s">
        <v>9</v>
      </c>
      <c r="C255" s="1">
        <v>33214</v>
      </c>
      <c r="D255" s="1" t="s">
        <v>51</v>
      </c>
      <c r="E255">
        <v>43.868270000000003</v>
      </c>
      <c r="F255">
        <v>10.252879999999999</v>
      </c>
      <c r="G255" s="1">
        <v>33220</v>
      </c>
      <c r="H255" s="1" t="s">
        <v>39</v>
      </c>
      <c r="I255">
        <v>43.894159999999999</v>
      </c>
      <c r="J255">
        <v>10.22714</v>
      </c>
      <c r="K255">
        <v>3</v>
      </c>
      <c r="L255">
        <v>210.7</v>
      </c>
      <c r="M255">
        <v>4642.2768781469513</v>
      </c>
      <c r="N255">
        <v>4</v>
      </c>
      <c r="O255">
        <v>210.7</v>
      </c>
    </row>
    <row r="256" spans="1:15" x14ac:dyDescent="0.25">
      <c r="A256">
        <v>70</v>
      </c>
      <c r="B256" t="s">
        <v>9</v>
      </c>
      <c r="C256" s="1">
        <v>33218</v>
      </c>
      <c r="D256" s="1" t="s">
        <v>52</v>
      </c>
      <c r="E256">
        <v>44.033050000000003</v>
      </c>
      <c r="F256">
        <v>10.50367</v>
      </c>
      <c r="G256" s="1">
        <v>33219</v>
      </c>
      <c r="H256" s="1" t="s">
        <v>47</v>
      </c>
      <c r="I256">
        <v>44.110500000000002</v>
      </c>
      <c r="J256">
        <v>10.41159</v>
      </c>
      <c r="K256">
        <v>24</v>
      </c>
      <c r="L256">
        <v>358.5</v>
      </c>
      <c r="M256">
        <v>4131.8694726962403</v>
      </c>
      <c r="N256">
        <v>1</v>
      </c>
      <c r="O256">
        <v>358.5</v>
      </c>
    </row>
    <row r="257" spans="1:15" x14ac:dyDescent="0.25">
      <c r="A257">
        <v>70</v>
      </c>
      <c r="B257" t="s">
        <v>9</v>
      </c>
      <c r="C257" s="1">
        <v>33220</v>
      </c>
      <c r="D257" s="1" t="s">
        <v>39</v>
      </c>
      <c r="E257">
        <v>43.894159999999999</v>
      </c>
      <c r="F257">
        <v>10.22714</v>
      </c>
      <c r="G257" s="1">
        <v>33221</v>
      </c>
      <c r="H257" s="1" t="s">
        <v>40</v>
      </c>
      <c r="I257">
        <v>43.956339999999997</v>
      </c>
      <c r="J257">
        <v>10.22996</v>
      </c>
      <c r="K257">
        <v>5</v>
      </c>
      <c r="L257">
        <v>168.3</v>
      </c>
      <c r="M257">
        <v>10164.398902832751</v>
      </c>
      <c r="N257">
        <v>4</v>
      </c>
      <c r="O257">
        <v>168.3</v>
      </c>
    </row>
    <row r="258" spans="1:15" x14ac:dyDescent="0.25">
      <c r="A258">
        <v>70</v>
      </c>
      <c r="B258" t="s">
        <v>9</v>
      </c>
      <c r="C258" s="1">
        <v>4144</v>
      </c>
      <c r="D258" s="1" t="s">
        <v>38</v>
      </c>
      <c r="E258">
        <v>43.568049999999999</v>
      </c>
      <c r="F258">
        <v>11.529260000000001</v>
      </c>
      <c r="G258" s="1">
        <v>25421</v>
      </c>
      <c r="H258" s="1" t="s">
        <v>41</v>
      </c>
      <c r="I258">
        <v>43.619419999999998</v>
      </c>
      <c r="J258">
        <v>11.47508</v>
      </c>
      <c r="K258">
        <v>2</v>
      </c>
      <c r="L258">
        <v>82.6</v>
      </c>
      <c r="M258">
        <v>6691.1980343133819</v>
      </c>
      <c r="N258">
        <v>1</v>
      </c>
      <c r="O258">
        <v>82.6</v>
      </c>
    </row>
    <row r="259" spans="1:15" x14ac:dyDescent="0.25">
      <c r="A259">
        <v>70</v>
      </c>
      <c r="B259" t="s">
        <v>9</v>
      </c>
      <c r="C259" s="1">
        <v>4144</v>
      </c>
      <c r="D259" s="1" t="s">
        <v>38</v>
      </c>
      <c r="E259">
        <v>43.568049999999999</v>
      </c>
      <c r="F259">
        <v>11.529260000000001</v>
      </c>
      <c r="G259" s="1">
        <v>4142</v>
      </c>
      <c r="H259" s="1" t="s">
        <v>42</v>
      </c>
      <c r="I259">
        <v>43.529310000000002</v>
      </c>
      <c r="J259">
        <v>11.56737</v>
      </c>
      <c r="K259">
        <v>4</v>
      </c>
      <c r="L259">
        <v>244.6</v>
      </c>
      <c r="M259">
        <v>1458.30687271632</v>
      </c>
      <c r="N259">
        <v>1</v>
      </c>
      <c r="O259">
        <v>244.6</v>
      </c>
    </row>
    <row r="260" spans="1:15" x14ac:dyDescent="0.25">
      <c r="A260">
        <v>70</v>
      </c>
      <c r="B260" t="s">
        <v>9</v>
      </c>
      <c r="C260" s="1">
        <v>46445</v>
      </c>
      <c r="D260" s="1" t="s">
        <v>35</v>
      </c>
      <c r="E260">
        <v>43.10801</v>
      </c>
      <c r="F260">
        <v>12.377940000000001</v>
      </c>
      <c r="G260" s="1">
        <v>46468</v>
      </c>
      <c r="H260" s="1" t="s">
        <v>33</v>
      </c>
      <c r="I260">
        <v>43.116489999999999</v>
      </c>
      <c r="J260">
        <v>12.45126</v>
      </c>
      <c r="K260">
        <v>7</v>
      </c>
      <c r="L260">
        <v>369.4</v>
      </c>
      <c r="M260">
        <v>9381.7742144749918</v>
      </c>
      <c r="N260">
        <v>3</v>
      </c>
      <c r="O260">
        <v>369.4</v>
      </c>
    </row>
    <row r="261" spans="1:15" x14ac:dyDescent="0.25">
      <c r="A261">
        <v>70</v>
      </c>
      <c r="B261" t="s">
        <v>9</v>
      </c>
      <c r="C261" s="1">
        <v>46445</v>
      </c>
      <c r="D261" s="1" t="s">
        <v>35</v>
      </c>
      <c r="E261">
        <v>43.10801</v>
      </c>
      <c r="F261">
        <v>12.377940000000001</v>
      </c>
      <c r="G261" s="1">
        <v>46471</v>
      </c>
      <c r="H261" s="1" t="s">
        <v>34</v>
      </c>
      <c r="I261">
        <v>43.10031</v>
      </c>
      <c r="J261">
        <v>12.318519999999999</v>
      </c>
      <c r="K261">
        <v>8</v>
      </c>
      <c r="L261">
        <v>377</v>
      </c>
      <c r="M261">
        <v>5420.0405435956563</v>
      </c>
      <c r="N261">
        <v>3</v>
      </c>
      <c r="O261">
        <v>377</v>
      </c>
    </row>
    <row r="262" spans="1:15" x14ac:dyDescent="0.25">
      <c r="A262">
        <v>70</v>
      </c>
      <c r="B262" t="s">
        <v>9</v>
      </c>
      <c r="C262" s="1">
        <v>46471</v>
      </c>
      <c r="D262" s="1" t="s">
        <v>34</v>
      </c>
      <c r="E262">
        <v>43.10031</v>
      </c>
      <c r="F262">
        <v>12.318519999999999</v>
      </c>
      <c r="G262" s="1">
        <v>46445</v>
      </c>
      <c r="H262" s="1" t="s">
        <v>35</v>
      </c>
      <c r="I262">
        <v>43.10801</v>
      </c>
      <c r="J262">
        <v>12.377940000000001</v>
      </c>
      <c r="K262">
        <v>11</v>
      </c>
      <c r="L262">
        <v>678.88</v>
      </c>
      <c r="M262">
        <v>1701.35801816904</v>
      </c>
      <c r="N262">
        <v>1</v>
      </c>
      <c r="O262">
        <v>678.88</v>
      </c>
    </row>
    <row r="263" spans="1:15" x14ac:dyDescent="0.25">
      <c r="A263">
        <v>70</v>
      </c>
      <c r="B263" t="s">
        <v>9</v>
      </c>
      <c r="C263" s="1">
        <v>59131</v>
      </c>
      <c r="D263" s="1" t="s">
        <v>45</v>
      </c>
      <c r="E263">
        <v>43.331879999999998</v>
      </c>
      <c r="F263">
        <v>11.32122</v>
      </c>
      <c r="G263" s="1">
        <v>59157</v>
      </c>
      <c r="H263" s="1" t="s">
        <v>45</v>
      </c>
      <c r="I263">
        <v>43.29034</v>
      </c>
      <c r="J263">
        <v>11.33822</v>
      </c>
      <c r="K263">
        <v>20</v>
      </c>
      <c r="L263">
        <v>1303.42</v>
      </c>
      <c r="M263">
        <v>4.8610229090543999</v>
      </c>
      <c r="N263">
        <v>2</v>
      </c>
      <c r="O263">
        <v>1303.42</v>
      </c>
    </row>
    <row r="264" spans="1:15" x14ac:dyDescent="0.25">
      <c r="A264">
        <v>70</v>
      </c>
      <c r="B264" t="s">
        <v>9</v>
      </c>
      <c r="C264" s="1">
        <v>59157</v>
      </c>
      <c r="D264" s="1" t="s">
        <v>45</v>
      </c>
      <c r="E264">
        <v>43.29034</v>
      </c>
      <c r="F264">
        <v>11.33822</v>
      </c>
      <c r="G264" s="1">
        <v>59131</v>
      </c>
      <c r="H264" s="1" t="s">
        <v>45</v>
      </c>
      <c r="I264">
        <v>43.331879999999998</v>
      </c>
      <c r="J264">
        <v>11.32122</v>
      </c>
      <c r="K264">
        <v>7</v>
      </c>
      <c r="L264">
        <v>408.4</v>
      </c>
      <c r="M264">
        <v>2187.4603090744799</v>
      </c>
      <c r="N264">
        <v>1</v>
      </c>
      <c r="O264">
        <v>408.4</v>
      </c>
    </row>
    <row r="265" spans="1:15" x14ac:dyDescent="0.25">
      <c r="A265">
        <v>70</v>
      </c>
      <c r="B265" t="s">
        <v>9</v>
      </c>
      <c r="C265" s="1">
        <v>77343</v>
      </c>
      <c r="D265" s="1" t="s">
        <v>43</v>
      </c>
      <c r="E265">
        <v>42.812559999999998</v>
      </c>
      <c r="F265">
        <v>10.31758</v>
      </c>
      <c r="G265" s="1">
        <v>32095</v>
      </c>
      <c r="H265" s="1" t="s">
        <v>43</v>
      </c>
      <c r="I265">
        <v>42.810519999999997</v>
      </c>
      <c r="J265">
        <v>10.30799</v>
      </c>
      <c r="K265">
        <v>3</v>
      </c>
      <c r="L265">
        <v>273.7</v>
      </c>
      <c r="M265">
        <v>291.661374543264</v>
      </c>
      <c r="N265">
        <v>1</v>
      </c>
      <c r="O265">
        <v>273.7</v>
      </c>
    </row>
    <row r="266" spans="1:15" x14ac:dyDescent="0.25">
      <c r="A266">
        <v>70</v>
      </c>
      <c r="B266" t="s">
        <v>9</v>
      </c>
      <c r="C266" s="1">
        <v>85210</v>
      </c>
      <c r="D266" s="1" t="s">
        <v>49</v>
      </c>
      <c r="E266">
        <v>43.928640000000001</v>
      </c>
      <c r="F266">
        <v>10.9284</v>
      </c>
      <c r="G266" s="1">
        <v>77334</v>
      </c>
      <c r="H266" s="1" t="s">
        <v>49</v>
      </c>
      <c r="I266">
        <v>43.939680000000003</v>
      </c>
      <c r="J266">
        <v>10.943490000000001</v>
      </c>
      <c r="K266">
        <v>2</v>
      </c>
      <c r="L266">
        <v>37</v>
      </c>
      <c r="M266">
        <v>850.67900908451998</v>
      </c>
      <c r="N266">
        <v>1</v>
      </c>
      <c r="O266">
        <v>37</v>
      </c>
    </row>
    <row r="267" spans="1:15" x14ac:dyDescent="0.25">
      <c r="A267">
        <v>70</v>
      </c>
      <c r="B267" t="s">
        <v>9</v>
      </c>
      <c r="C267" s="1">
        <v>92197</v>
      </c>
      <c r="D267" s="1" t="s">
        <v>53</v>
      </c>
      <c r="E267">
        <v>42.570590000000003</v>
      </c>
      <c r="F267">
        <v>12.632300000000001</v>
      </c>
      <c r="G267" s="1">
        <v>92198</v>
      </c>
      <c r="H267" s="1" t="s">
        <v>48</v>
      </c>
      <c r="I267">
        <v>42.529159999999997</v>
      </c>
      <c r="J267">
        <v>12.51361</v>
      </c>
      <c r="K267">
        <v>25</v>
      </c>
      <c r="L267">
        <v>475</v>
      </c>
      <c r="M267">
        <v>7218.6190199457833</v>
      </c>
      <c r="N267">
        <v>2</v>
      </c>
      <c r="O267">
        <v>475</v>
      </c>
    </row>
    <row r="268" spans="1:15" x14ac:dyDescent="0.25">
      <c r="A268">
        <v>90</v>
      </c>
      <c r="B268" t="s">
        <v>7</v>
      </c>
      <c r="C268" s="1">
        <v>25290</v>
      </c>
      <c r="D268" s="1" t="s">
        <v>32</v>
      </c>
      <c r="E268">
        <v>43.81803</v>
      </c>
      <c r="F268">
        <v>11.211550000000001</v>
      </c>
      <c r="G268" s="1">
        <v>25239</v>
      </c>
      <c r="H268" s="1" t="s">
        <v>31</v>
      </c>
      <c r="I268">
        <v>43.77281</v>
      </c>
      <c r="J268">
        <v>11.29452</v>
      </c>
      <c r="K268">
        <v>129</v>
      </c>
      <c r="L268">
        <v>4972.7137246971524</v>
      </c>
      <c r="M268">
        <v>14583.0687271632</v>
      </c>
      <c r="N268">
        <v>4</v>
      </c>
      <c r="O268">
        <v>4470.8</v>
      </c>
    </row>
    <row r="269" spans="1:15" x14ac:dyDescent="0.25">
      <c r="A269">
        <v>90</v>
      </c>
      <c r="B269" t="s">
        <v>7</v>
      </c>
      <c r="C269" s="1">
        <v>25290</v>
      </c>
      <c r="D269" s="1" t="s">
        <v>32</v>
      </c>
      <c r="E269">
        <v>43.81803</v>
      </c>
      <c r="F269">
        <v>11.211550000000001</v>
      </c>
      <c r="G269" s="1">
        <v>25398</v>
      </c>
      <c r="H269" s="1" t="s">
        <v>31</v>
      </c>
      <c r="I269">
        <v>43.769460000000002</v>
      </c>
      <c r="J269">
        <v>11.19172</v>
      </c>
      <c r="K269">
        <v>35</v>
      </c>
      <c r="L269">
        <v>2019.72</v>
      </c>
      <c r="M269">
        <v>11182.78320227965</v>
      </c>
      <c r="N269">
        <v>4</v>
      </c>
      <c r="O269">
        <v>2019.72</v>
      </c>
    </row>
    <row r="270" spans="1:15" x14ac:dyDescent="0.25">
      <c r="A270">
        <v>90</v>
      </c>
      <c r="B270" t="s">
        <v>7</v>
      </c>
      <c r="C270" s="1">
        <v>25290</v>
      </c>
      <c r="D270" s="1" t="s">
        <v>32</v>
      </c>
      <c r="E270">
        <v>43.81803</v>
      </c>
      <c r="F270">
        <v>11.211550000000001</v>
      </c>
      <c r="G270" s="1">
        <v>25400</v>
      </c>
      <c r="H270" s="1" t="s">
        <v>31</v>
      </c>
      <c r="I270">
        <v>43.798690000000001</v>
      </c>
      <c r="J270">
        <v>11.20762</v>
      </c>
      <c r="K270">
        <v>73</v>
      </c>
      <c r="L270">
        <v>6189.96</v>
      </c>
      <c r="M270">
        <v>10086.622536287879</v>
      </c>
      <c r="N270">
        <v>7</v>
      </c>
      <c r="O270">
        <v>6189.96</v>
      </c>
    </row>
    <row r="271" spans="1:15" x14ac:dyDescent="0.25">
      <c r="A271">
        <v>90</v>
      </c>
      <c r="B271" t="s">
        <v>7</v>
      </c>
      <c r="C271" s="1">
        <v>25290</v>
      </c>
      <c r="D271" s="1" t="s">
        <v>32</v>
      </c>
      <c r="E271">
        <v>43.81803</v>
      </c>
      <c r="F271">
        <v>11.211550000000001</v>
      </c>
      <c r="G271" s="1">
        <v>25401</v>
      </c>
      <c r="H271" s="1" t="s">
        <v>36</v>
      </c>
      <c r="I271">
        <v>43.87838</v>
      </c>
      <c r="J271">
        <v>11.103210000000001</v>
      </c>
      <c r="K271">
        <v>155</v>
      </c>
      <c r="L271">
        <v>2791.3</v>
      </c>
      <c r="M271">
        <v>18690.63308531417</v>
      </c>
      <c r="N271">
        <v>5</v>
      </c>
      <c r="O271">
        <v>2791.3</v>
      </c>
    </row>
    <row r="272" spans="1:15" x14ac:dyDescent="0.25">
      <c r="A272">
        <v>90</v>
      </c>
      <c r="B272" t="s">
        <v>7</v>
      </c>
      <c r="C272" s="1">
        <v>25290</v>
      </c>
      <c r="D272" s="1" t="s">
        <v>32</v>
      </c>
      <c r="E272">
        <v>43.81803</v>
      </c>
      <c r="F272">
        <v>11.211550000000001</v>
      </c>
      <c r="G272" s="1">
        <v>25417</v>
      </c>
      <c r="H272" s="1" t="s">
        <v>37</v>
      </c>
      <c r="I272">
        <v>43.754040000000003</v>
      </c>
      <c r="J272">
        <v>11.32128</v>
      </c>
      <c r="K272">
        <v>64</v>
      </c>
      <c r="L272">
        <v>973.3</v>
      </c>
      <c r="M272">
        <v>14194.18689443885</v>
      </c>
      <c r="N272">
        <v>2</v>
      </c>
      <c r="O272">
        <v>973.3</v>
      </c>
    </row>
    <row r="273" spans="1:15" x14ac:dyDescent="0.25">
      <c r="A273">
        <v>90</v>
      </c>
      <c r="B273" t="s">
        <v>7</v>
      </c>
      <c r="C273" s="1">
        <v>25398</v>
      </c>
      <c r="D273" s="1" t="s">
        <v>31</v>
      </c>
      <c r="E273">
        <v>43.769460000000002</v>
      </c>
      <c r="F273">
        <v>11.19172</v>
      </c>
      <c r="G273" s="1">
        <v>25239</v>
      </c>
      <c r="H273" s="1" t="s">
        <v>31</v>
      </c>
      <c r="I273">
        <v>43.77281</v>
      </c>
      <c r="J273">
        <v>11.29452</v>
      </c>
      <c r="K273">
        <v>4</v>
      </c>
      <c r="L273">
        <v>134</v>
      </c>
      <c r="M273">
        <v>2916.6137454326399</v>
      </c>
      <c r="N273">
        <v>1</v>
      </c>
      <c r="O273">
        <v>134</v>
      </c>
    </row>
    <row r="274" spans="1:15" x14ac:dyDescent="0.25">
      <c r="A274">
        <v>90</v>
      </c>
      <c r="B274" t="s">
        <v>7</v>
      </c>
      <c r="C274" s="1">
        <v>25398</v>
      </c>
      <c r="D274" s="1" t="s">
        <v>31</v>
      </c>
      <c r="E274">
        <v>43.769460000000002</v>
      </c>
      <c r="F274">
        <v>11.19172</v>
      </c>
      <c r="G274" s="1">
        <v>25290</v>
      </c>
      <c r="H274" s="1" t="s">
        <v>32</v>
      </c>
      <c r="I274">
        <v>43.81803</v>
      </c>
      <c r="J274">
        <v>11.211550000000001</v>
      </c>
      <c r="K274">
        <v>40</v>
      </c>
      <c r="L274">
        <v>38</v>
      </c>
      <c r="M274">
        <v>4377.3511296034876</v>
      </c>
      <c r="N274">
        <v>1</v>
      </c>
      <c r="O274">
        <v>38</v>
      </c>
    </row>
    <row r="275" spans="1:15" x14ac:dyDescent="0.25">
      <c r="A275">
        <v>90</v>
      </c>
      <c r="B275" t="s">
        <v>7</v>
      </c>
      <c r="C275" s="1">
        <v>25400</v>
      </c>
      <c r="D275" s="1" t="s">
        <v>31</v>
      </c>
      <c r="E275">
        <v>43.798690000000001</v>
      </c>
      <c r="F275">
        <v>11.20762</v>
      </c>
      <c r="G275" s="1">
        <v>25290</v>
      </c>
      <c r="H275" s="1" t="s">
        <v>32</v>
      </c>
      <c r="I275">
        <v>43.81803</v>
      </c>
      <c r="J275">
        <v>11.211550000000001</v>
      </c>
      <c r="K275">
        <v>60</v>
      </c>
      <c r="L275">
        <v>159.91999999999999</v>
      </c>
      <c r="M275">
        <v>2673.5625999799199</v>
      </c>
      <c r="N275">
        <v>2</v>
      </c>
      <c r="O275">
        <v>159.91999999999999</v>
      </c>
    </row>
    <row r="276" spans="1:15" x14ac:dyDescent="0.25">
      <c r="A276">
        <v>90</v>
      </c>
      <c r="B276" t="s">
        <v>7</v>
      </c>
      <c r="C276" s="1">
        <v>25400</v>
      </c>
      <c r="D276" s="1" t="s">
        <v>31</v>
      </c>
      <c r="E276">
        <v>43.798690000000001</v>
      </c>
      <c r="F276">
        <v>11.20762</v>
      </c>
      <c r="G276" s="1">
        <v>25398</v>
      </c>
      <c r="H276" s="1" t="s">
        <v>31</v>
      </c>
      <c r="I276">
        <v>43.769460000000002</v>
      </c>
      <c r="J276">
        <v>11.19172</v>
      </c>
      <c r="K276">
        <v>13</v>
      </c>
      <c r="L276">
        <v>961.4</v>
      </c>
      <c r="M276">
        <v>2989.529089068456</v>
      </c>
      <c r="N276">
        <v>2</v>
      </c>
      <c r="O276">
        <v>961.4</v>
      </c>
    </row>
    <row r="277" spans="1:15" x14ac:dyDescent="0.25">
      <c r="A277">
        <v>90</v>
      </c>
      <c r="B277" t="s">
        <v>7</v>
      </c>
      <c r="C277" s="1">
        <v>25401</v>
      </c>
      <c r="D277" s="1" t="s">
        <v>36</v>
      </c>
      <c r="E277">
        <v>43.87838</v>
      </c>
      <c r="F277">
        <v>11.103210000000001</v>
      </c>
      <c r="G277" s="1">
        <v>25290</v>
      </c>
      <c r="H277" s="1" t="s">
        <v>32</v>
      </c>
      <c r="I277">
        <v>43.81803</v>
      </c>
      <c r="J277">
        <v>11.211550000000001</v>
      </c>
      <c r="K277">
        <v>64</v>
      </c>
      <c r="L277">
        <v>58.8</v>
      </c>
      <c r="M277">
        <v>3767.2927545171601</v>
      </c>
      <c r="N277">
        <v>1</v>
      </c>
      <c r="O277">
        <v>58.8</v>
      </c>
    </row>
    <row r="278" spans="1:15" x14ac:dyDescent="0.25">
      <c r="A278">
        <v>90</v>
      </c>
      <c r="B278" t="s">
        <v>7</v>
      </c>
      <c r="C278" s="1">
        <v>25401</v>
      </c>
      <c r="D278" s="1" t="s">
        <v>36</v>
      </c>
      <c r="E278">
        <v>43.87838</v>
      </c>
      <c r="F278">
        <v>11.103210000000001</v>
      </c>
      <c r="G278" s="1">
        <v>25433</v>
      </c>
      <c r="H278" s="1" t="s">
        <v>44</v>
      </c>
      <c r="I278">
        <v>43.923850000000002</v>
      </c>
      <c r="J278">
        <v>11.03511</v>
      </c>
      <c r="K278">
        <v>18</v>
      </c>
      <c r="L278">
        <v>792</v>
      </c>
      <c r="M278">
        <v>2916.6137454326399</v>
      </c>
      <c r="N278">
        <v>1</v>
      </c>
      <c r="O278">
        <v>792</v>
      </c>
    </row>
    <row r="279" spans="1:15" x14ac:dyDescent="0.25">
      <c r="A279">
        <v>90</v>
      </c>
      <c r="B279" t="s">
        <v>7</v>
      </c>
      <c r="C279" s="1">
        <v>25421</v>
      </c>
      <c r="D279" s="1" t="s">
        <v>41</v>
      </c>
      <c r="E279">
        <v>43.619419999999998</v>
      </c>
      <c r="F279">
        <v>11.47508</v>
      </c>
      <c r="G279" s="1">
        <v>4142</v>
      </c>
      <c r="H279" s="1" t="s">
        <v>42</v>
      </c>
      <c r="I279">
        <v>43.529310000000002</v>
      </c>
      <c r="J279">
        <v>11.56737</v>
      </c>
      <c r="K279">
        <v>8</v>
      </c>
      <c r="L279">
        <v>50.545898763227683</v>
      </c>
      <c r="M279">
        <v>0</v>
      </c>
      <c r="N279">
        <v>0</v>
      </c>
      <c r="O279">
        <v>0</v>
      </c>
    </row>
    <row r="280" spans="1:15" x14ac:dyDescent="0.25">
      <c r="A280">
        <v>90</v>
      </c>
      <c r="B280" t="s">
        <v>7</v>
      </c>
      <c r="C280" s="1">
        <v>25421</v>
      </c>
      <c r="D280" s="1" t="s">
        <v>41</v>
      </c>
      <c r="E280">
        <v>43.619419999999998</v>
      </c>
      <c r="F280">
        <v>11.47508</v>
      </c>
      <c r="G280" s="1">
        <v>4144</v>
      </c>
      <c r="H280" s="1" t="s">
        <v>38</v>
      </c>
      <c r="I280">
        <v>43.568049999999999</v>
      </c>
      <c r="J280">
        <v>11.529260000000001</v>
      </c>
      <c r="K280">
        <v>4</v>
      </c>
      <c r="L280">
        <v>190.274845205763</v>
      </c>
      <c r="M280">
        <v>0</v>
      </c>
      <c r="N280">
        <v>0</v>
      </c>
      <c r="O280">
        <v>0</v>
      </c>
    </row>
    <row r="281" spans="1:15" x14ac:dyDescent="0.25">
      <c r="A281">
        <v>90</v>
      </c>
      <c r="B281" t="s">
        <v>7</v>
      </c>
      <c r="C281" s="1">
        <v>32094</v>
      </c>
      <c r="D281" s="1" t="s">
        <v>54</v>
      </c>
      <c r="E281">
        <v>43.304879999999997</v>
      </c>
      <c r="F281">
        <v>10.5182</v>
      </c>
      <c r="G281" s="1">
        <v>32098</v>
      </c>
      <c r="H281" s="1" t="s">
        <v>50</v>
      </c>
      <c r="I281">
        <v>43.393940000000001</v>
      </c>
      <c r="J281">
        <v>10.43547</v>
      </c>
      <c r="K281">
        <v>4</v>
      </c>
      <c r="L281">
        <v>41.687863345543967</v>
      </c>
      <c r="M281">
        <v>0</v>
      </c>
      <c r="N281">
        <v>0</v>
      </c>
      <c r="O281">
        <v>0</v>
      </c>
    </row>
    <row r="282" spans="1:15" x14ac:dyDescent="0.25">
      <c r="A282">
        <v>90</v>
      </c>
      <c r="B282" t="s">
        <v>7</v>
      </c>
      <c r="C282" s="1">
        <v>33212</v>
      </c>
      <c r="D282" s="1" t="s">
        <v>46</v>
      </c>
      <c r="E282">
        <v>43.844110000000001</v>
      </c>
      <c r="F282">
        <v>10.525460000000001</v>
      </c>
      <c r="G282" s="1">
        <v>77150</v>
      </c>
      <c r="H282" s="1" t="s">
        <v>46</v>
      </c>
      <c r="I282">
        <v>43.860230000000001</v>
      </c>
      <c r="J282">
        <v>10.51596</v>
      </c>
      <c r="K282">
        <v>2</v>
      </c>
      <c r="L282">
        <v>153</v>
      </c>
      <c r="M282">
        <v>1069.4250399919681</v>
      </c>
      <c r="N282">
        <v>1</v>
      </c>
      <c r="O282">
        <v>153</v>
      </c>
    </row>
    <row r="283" spans="1:15" x14ac:dyDescent="0.25">
      <c r="A283">
        <v>90</v>
      </c>
      <c r="B283" t="s">
        <v>7</v>
      </c>
      <c r="C283" s="1">
        <v>33214</v>
      </c>
      <c r="D283" s="1" t="s">
        <v>51</v>
      </c>
      <c r="E283">
        <v>43.868270000000003</v>
      </c>
      <c r="F283">
        <v>10.252879999999999</v>
      </c>
      <c r="G283" s="1">
        <v>33220</v>
      </c>
      <c r="H283" s="1" t="s">
        <v>39</v>
      </c>
      <c r="I283">
        <v>43.894159999999999</v>
      </c>
      <c r="J283">
        <v>10.22714</v>
      </c>
      <c r="K283">
        <v>3</v>
      </c>
      <c r="L283">
        <v>210.7</v>
      </c>
      <c r="M283">
        <v>4642.2768781469513</v>
      </c>
      <c r="N283">
        <v>4</v>
      </c>
      <c r="O283">
        <v>210.7</v>
      </c>
    </row>
    <row r="284" spans="1:15" x14ac:dyDescent="0.25">
      <c r="A284">
        <v>90</v>
      </c>
      <c r="B284" t="s">
        <v>7</v>
      </c>
      <c r="C284" s="1">
        <v>33218</v>
      </c>
      <c r="D284" s="1" t="s">
        <v>52</v>
      </c>
      <c r="E284">
        <v>44.033050000000003</v>
      </c>
      <c r="F284">
        <v>10.50367</v>
      </c>
      <c r="G284" s="1">
        <v>33219</v>
      </c>
      <c r="H284" s="1" t="s">
        <v>47</v>
      </c>
      <c r="I284">
        <v>44.110500000000002</v>
      </c>
      <c r="J284">
        <v>10.41159</v>
      </c>
      <c r="K284">
        <v>24</v>
      </c>
      <c r="L284">
        <v>358.5</v>
      </c>
      <c r="M284">
        <v>4131.8694726962403</v>
      </c>
      <c r="N284">
        <v>1</v>
      </c>
      <c r="O284">
        <v>358.5</v>
      </c>
    </row>
    <row r="285" spans="1:15" x14ac:dyDescent="0.25">
      <c r="A285">
        <v>90</v>
      </c>
      <c r="B285" t="s">
        <v>7</v>
      </c>
      <c r="C285" s="1">
        <v>33220</v>
      </c>
      <c r="D285" s="1" t="s">
        <v>39</v>
      </c>
      <c r="E285">
        <v>43.894159999999999</v>
      </c>
      <c r="F285">
        <v>10.22714</v>
      </c>
      <c r="G285" s="1">
        <v>33221</v>
      </c>
      <c r="H285" s="1" t="s">
        <v>40</v>
      </c>
      <c r="I285">
        <v>43.956339999999997</v>
      </c>
      <c r="J285">
        <v>10.22996</v>
      </c>
      <c r="K285">
        <v>5</v>
      </c>
      <c r="L285">
        <v>168.3</v>
      </c>
      <c r="M285">
        <v>10164.398902832751</v>
      </c>
      <c r="N285">
        <v>4</v>
      </c>
      <c r="O285">
        <v>168.3</v>
      </c>
    </row>
    <row r="286" spans="1:15" x14ac:dyDescent="0.25">
      <c r="A286">
        <v>90</v>
      </c>
      <c r="B286" t="s">
        <v>7</v>
      </c>
      <c r="C286" s="1">
        <v>4144</v>
      </c>
      <c r="D286" s="1" t="s">
        <v>38</v>
      </c>
      <c r="E286">
        <v>43.568049999999999</v>
      </c>
      <c r="F286">
        <v>11.529260000000001</v>
      </c>
      <c r="G286" s="1">
        <v>25421</v>
      </c>
      <c r="H286" s="1" t="s">
        <v>41</v>
      </c>
      <c r="I286">
        <v>43.619419999999998</v>
      </c>
      <c r="J286">
        <v>11.47508</v>
      </c>
      <c r="K286">
        <v>2</v>
      </c>
      <c r="L286">
        <v>82.6</v>
      </c>
      <c r="M286">
        <v>6691.1980343133819</v>
      </c>
      <c r="N286">
        <v>1</v>
      </c>
      <c r="O286">
        <v>82.6</v>
      </c>
    </row>
    <row r="287" spans="1:15" x14ac:dyDescent="0.25">
      <c r="A287">
        <v>90</v>
      </c>
      <c r="B287" t="s">
        <v>7</v>
      </c>
      <c r="C287" s="1">
        <v>4144</v>
      </c>
      <c r="D287" s="1" t="s">
        <v>38</v>
      </c>
      <c r="E287">
        <v>43.568049999999999</v>
      </c>
      <c r="F287">
        <v>11.529260000000001</v>
      </c>
      <c r="G287" s="1">
        <v>4142</v>
      </c>
      <c r="H287" s="1" t="s">
        <v>42</v>
      </c>
      <c r="I287">
        <v>43.529310000000002</v>
      </c>
      <c r="J287">
        <v>11.56737</v>
      </c>
      <c r="K287">
        <v>4</v>
      </c>
      <c r="L287">
        <v>244.6</v>
      </c>
      <c r="M287">
        <v>1458.30687271632</v>
      </c>
      <c r="N287">
        <v>1</v>
      </c>
      <c r="O287">
        <v>244.6</v>
      </c>
    </row>
    <row r="288" spans="1:15" x14ac:dyDescent="0.25">
      <c r="A288">
        <v>90</v>
      </c>
      <c r="B288" t="s">
        <v>7</v>
      </c>
      <c r="C288" s="1">
        <v>46445</v>
      </c>
      <c r="D288" s="1" t="s">
        <v>35</v>
      </c>
      <c r="E288">
        <v>43.10801</v>
      </c>
      <c r="F288">
        <v>12.377940000000001</v>
      </c>
      <c r="G288" s="1">
        <v>46468</v>
      </c>
      <c r="H288" s="1" t="s">
        <v>33</v>
      </c>
      <c r="I288">
        <v>43.116489999999999</v>
      </c>
      <c r="J288">
        <v>12.45126</v>
      </c>
      <c r="K288">
        <v>7</v>
      </c>
      <c r="L288">
        <v>369.4</v>
      </c>
      <c r="M288">
        <v>9381.7742144749918</v>
      </c>
      <c r="N288">
        <v>3</v>
      </c>
      <c r="O288">
        <v>369.4</v>
      </c>
    </row>
    <row r="289" spans="1:15" x14ac:dyDescent="0.25">
      <c r="A289">
        <v>90</v>
      </c>
      <c r="B289" t="s">
        <v>7</v>
      </c>
      <c r="C289" s="1">
        <v>46445</v>
      </c>
      <c r="D289" s="1" t="s">
        <v>35</v>
      </c>
      <c r="E289">
        <v>43.10801</v>
      </c>
      <c r="F289">
        <v>12.377940000000001</v>
      </c>
      <c r="G289" s="1">
        <v>46471</v>
      </c>
      <c r="H289" s="1" t="s">
        <v>34</v>
      </c>
      <c r="I289">
        <v>43.10031</v>
      </c>
      <c r="J289">
        <v>12.318519999999999</v>
      </c>
      <c r="K289">
        <v>8</v>
      </c>
      <c r="L289">
        <v>377</v>
      </c>
      <c r="M289">
        <v>5420.0405435956563</v>
      </c>
      <c r="N289">
        <v>3</v>
      </c>
      <c r="O289">
        <v>377</v>
      </c>
    </row>
    <row r="290" spans="1:15" x14ac:dyDescent="0.25">
      <c r="A290">
        <v>90</v>
      </c>
      <c r="B290" t="s">
        <v>7</v>
      </c>
      <c r="C290" s="1">
        <v>46471</v>
      </c>
      <c r="D290" s="1" t="s">
        <v>34</v>
      </c>
      <c r="E290">
        <v>43.10031</v>
      </c>
      <c r="F290">
        <v>12.318519999999999</v>
      </c>
      <c r="G290" s="1">
        <v>46445</v>
      </c>
      <c r="H290" s="1" t="s">
        <v>35</v>
      </c>
      <c r="I290">
        <v>43.10801</v>
      </c>
      <c r="J290">
        <v>12.377940000000001</v>
      </c>
      <c r="K290">
        <v>11</v>
      </c>
      <c r="L290">
        <v>678.88</v>
      </c>
      <c r="M290">
        <v>1701.35801816904</v>
      </c>
      <c r="N290">
        <v>1</v>
      </c>
      <c r="O290">
        <v>678.88</v>
      </c>
    </row>
    <row r="291" spans="1:15" x14ac:dyDescent="0.25">
      <c r="A291">
        <v>90</v>
      </c>
      <c r="B291" t="s">
        <v>7</v>
      </c>
      <c r="C291" s="1">
        <v>59131</v>
      </c>
      <c r="D291" s="1" t="s">
        <v>45</v>
      </c>
      <c r="E291">
        <v>43.331879999999998</v>
      </c>
      <c r="F291">
        <v>11.32122</v>
      </c>
      <c r="G291" s="1">
        <v>59157</v>
      </c>
      <c r="H291" s="1" t="s">
        <v>45</v>
      </c>
      <c r="I291">
        <v>43.29034</v>
      </c>
      <c r="J291">
        <v>11.33822</v>
      </c>
      <c r="K291">
        <v>20</v>
      </c>
      <c r="L291">
        <v>1303.42</v>
      </c>
      <c r="M291">
        <v>4.8610229090543999</v>
      </c>
      <c r="N291">
        <v>2</v>
      </c>
      <c r="O291">
        <v>1303.42</v>
      </c>
    </row>
    <row r="292" spans="1:15" x14ac:dyDescent="0.25">
      <c r="A292">
        <v>90</v>
      </c>
      <c r="B292" t="s">
        <v>7</v>
      </c>
      <c r="C292" s="1">
        <v>59157</v>
      </c>
      <c r="D292" s="1" t="s">
        <v>45</v>
      </c>
      <c r="E292">
        <v>43.29034</v>
      </c>
      <c r="F292">
        <v>11.33822</v>
      </c>
      <c r="G292" s="1">
        <v>59131</v>
      </c>
      <c r="H292" s="1" t="s">
        <v>45</v>
      </c>
      <c r="I292">
        <v>43.331879999999998</v>
      </c>
      <c r="J292">
        <v>11.32122</v>
      </c>
      <c r="K292">
        <v>7</v>
      </c>
      <c r="L292">
        <v>408.4</v>
      </c>
      <c r="M292">
        <v>2187.4603090744799</v>
      </c>
      <c r="N292">
        <v>1</v>
      </c>
      <c r="O292">
        <v>408.4</v>
      </c>
    </row>
    <row r="293" spans="1:15" x14ac:dyDescent="0.25">
      <c r="A293">
        <v>90</v>
      </c>
      <c r="B293" t="s">
        <v>7</v>
      </c>
      <c r="C293" s="1">
        <v>77343</v>
      </c>
      <c r="D293" s="1" t="s">
        <v>43</v>
      </c>
      <c r="E293">
        <v>42.812559999999998</v>
      </c>
      <c r="F293">
        <v>10.31758</v>
      </c>
      <c r="G293" s="1">
        <v>32095</v>
      </c>
      <c r="H293" s="1" t="s">
        <v>43</v>
      </c>
      <c r="I293">
        <v>42.810519999999997</v>
      </c>
      <c r="J293">
        <v>10.30799</v>
      </c>
      <c r="K293">
        <v>3</v>
      </c>
      <c r="L293">
        <v>273.7</v>
      </c>
      <c r="M293">
        <v>291.661374543264</v>
      </c>
      <c r="N293">
        <v>1</v>
      </c>
      <c r="O293">
        <v>273.7</v>
      </c>
    </row>
    <row r="294" spans="1:15" x14ac:dyDescent="0.25">
      <c r="A294">
        <v>90</v>
      </c>
      <c r="B294" t="s">
        <v>7</v>
      </c>
      <c r="C294" s="1">
        <v>85210</v>
      </c>
      <c r="D294" s="1" t="s">
        <v>49</v>
      </c>
      <c r="E294">
        <v>43.928640000000001</v>
      </c>
      <c r="F294">
        <v>10.9284</v>
      </c>
      <c r="G294" s="1">
        <v>77334</v>
      </c>
      <c r="H294" s="1" t="s">
        <v>49</v>
      </c>
      <c r="I294">
        <v>43.939680000000003</v>
      </c>
      <c r="J294">
        <v>10.943490000000001</v>
      </c>
      <c r="K294">
        <v>1</v>
      </c>
      <c r="L294">
        <v>37</v>
      </c>
      <c r="M294">
        <v>850.67900908451998</v>
      </c>
      <c r="N294">
        <v>1</v>
      </c>
      <c r="O294">
        <v>37</v>
      </c>
    </row>
    <row r="295" spans="1:15" x14ac:dyDescent="0.25">
      <c r="A295">
        <v>90</v>
      </c>
      <c r="B295" t="s">
        <v>7</v>
      </c>
      <c r="C295" s="1">
        <v>92197</v>
      </c>
      <c r="D295" s="1" t="s">
        <v>53</v>
      </c>
      <c r="E295">
        <v>42.570590000000003</v>
      </c>
      <c r="F295">
        <v>12.632300000000001</v>
      </c>
      <c r="G295" s="1">
        <v>92198</v>
      </c>
      <c r="H295" s="1" t="s">
        <v>48</v>
      </c>
      <c r="I295">
        <v>42.529159999999997</v>
      </c>
      <c r="J295">
        <v>12.51361</v>
      </c>
      <c r="K295">
        <v>28</v>
      </c>
      <c r="L295">
        <v>475</v>
      </c>
      <c r="M295">
        <v>7218.6190199457833</v>
      </c>
      <c r="N295">
        <v>2</v>
      </c>
      <c r="O295">
        <v>475</v>
      </c>
    </row>
    <row r="296" spans="1:15" x14ac:dyDescent="0.25">
      <c r="A296">
        <v>90</v>
      </c>
      <c r="B296" t="s">
        <v>8</v>
      </c>
      <c r="C296" s="1">
        <v>25290</v>
      </c>
      <c r="D296" s="1" t="s">
        <v>32</v>
      </c>
      <c r="E296">
        <v>43.81803</v>
      </c>
      <c r="F296">
        <v>11.211550000000001</v>
      </c>
      <c r="G296" s="1">
        <v>25239</v>
      </c>
      <c r="H296" s="1" t="s">
        <v>31</v>
      </c>
      <c r="I296">
        <v>43.77281</v>
      </c>
      <c r="J296">
        <v>11.29452</v>
      </c>
      <c r="K296">
        <v>130</v>
      </c>
      <c r="L296">
        <v>4987.1000000000004</v>
      </c>
      <c r="M296">
        <v>18228.835908953999</v>
      </c>
      <c r="N296">
        <v>5</v>
      </c>
      <c r="O296">
        <v>4987.1000000000004</v>
      </c>
    </row>
    <row r="297" spans="1:15" x14ac:dyDescent="0.25">
      <c r="A297">
        <v>90</v>
      </c>
      <c r="B297" t="s">
        <v>8</v>
      </c>
      <c r="C297" s="1">
        <v>25290</v>
      </c>
      <c r="D297" s="1" t="s">
        <v>32</v>
      </c>
      <c r="E297">
        <v>43.81803</v>
      </c>
      <c r="F297">
        <v>11.211550000000001</v>
      </c>
      <c r="G297" s="1">
        <v>25398</v>
      </c>
      <c r="H297" s="1" t="s">
        <v>31</v>
      </c>
      <c r="I297">
        <v>43.769460000000002</v>
      </c>
      <c r="J297">
        <v>11.19172</v>
      </c>
      <c r="K297">
        <v>35</v>
      </c>
      <c r="L297">
        <v>2019.72</v>
      </c>
      <c r="M297">
        <v>11182.78320227965</v>
      </c>
      <c r="N297">
        <v>4</v>
      </c>
      <c r="O297">
        <v>2019.72</v>
      </c>
    </row>
    <row r="298" spans="1:15" x14ac:dyDescent="0.25">
      <c r="A298">
        <v>90</v>
      </c>
      <c r="B298" t="s">
        <v>8</v>
      </c>
      <c r="C298" s="1">
        <v>25290</v>
      </c>
      <c r="D298" s="1" t="s">
        <v>32</v>
      </c>
      <c r="E298">
        <v>43.81803</v>
      </c>
      <c r="F298">
        <v>11.211550000000001</v>
      </c>
      <c r="G298" s="1">
        <v>25400</v>
      </c>
      <c r="H298" s="1" t="s">
        <v>31</v>
      </c>
      <c r="I298">
        <v>43.798690000000001</v>
      </c>
      <c r="J298">
        <v>11.20762</v>
      </c>
      <c r="K298">
        <v>73</v>
      </c>
      <c r="L298">
        <v>6189.96</v>
      </c>
      <c r="M298">
        <v>10086.622536287879</v>
      </c>
      <c r="N298">
        <v>7</v>
      </c>
      <c r="O298">
        <v>6189.96</v>
      </c>
    </row>
    <row r="299" spans="1:15" x14ac:dyDescent="0.25">
      <c r="A299">
        <v>90</v>
      </c>
      <c r="B299" t="s">
        <v>8</v>
      </c>
      <c r="C299" s="1">
        <v>25290</v>
      </c>
      <c r="D299" s="1" t="s">
        <v>32</v>
      </c>
      <c r="E299">
        <v>43.81803</v>
      </c>
      <c r="F299">
        <v>11.211550000000001</v>
      </c>
      <c r="G299" s="1">
        <v>25401</v>
      </c>
      <c r="H299" s="1" t="s">
        <v>36</v>
      </c>
      <c r="I299">
        <v>43.87838</v>
      </c>
      <c r="J299">
        <v>11.103210000000001</v>
      </c>
      <c r="K299">
        <v>155</v>
      </c>
      <c r="L299">
        <v>2791.3</v>
      </c>
      <c r="M299">
        <v>18690.63308531417</v>
      </c>
      <c r="N299">
        <v>5</v>
      </c>
      <c r="O299">
        <v>2791.3</v>
      </c>
    </row>
    <row r="300" spans="1:15" x14ac:dyDescent="0.25">
      <c r="A300">
        <v>90</v>
      </c>
      <c r="B300" t="s">
        <v>8</v>
      </c>
      <c r="C300" s="1">
        <v>25290</v>
      </c>
      <c r="D300" s="1" t="s">
        <v>32</v>
      </c>
      <c r="E300">
        <v>43.81803</v>
      </c>
      <c r="F300">
        <v>11.211550000000001</v>
      </c>
      <c r="G300" s="1">
        <v>25417</v>
      </c>
      <c r="H300" s="1" t="s">
        <v>37</v>
      </c>
      <c r="I300">
        <v>43.754040000000003</v>
      </c>
      <c r="J300">
        <v>11.32128</v>
      </c>
      <c r="K300">
        <v>64</v>
      </c>
      <c r="L300">
        <v>973.3</v>
      </c>
      <c r="M300">
        <v>14194.18689443885</v>
      </c>
      <c r="N300">
        <v>2</v>
      </c>
      <c r="O300">
        <v>973.3</v>
      </c>
    </row>
    <row r="301" spans="1:15" x14ac:dyDescent="0.25">
      <c r="A301">
        <v>90</v>
      </c>
      <c r="B301" t="s">
        <v>8</v>
      </c>
      <c r="C301" s="1">
        <v>25398</v>
      </c>
      <c r="D301" s="1" t="s">
        <v>31</v>
      </c>
      <c r="E301">
        <v>43.769460000000002</v>
      </c>
      <c r="F301">
        <v>11.19172</v>
      </c>
      <c r="G301" s="1">
        <v>25239</v>
      </c>
      <c r="H301" s="1" t="s">
        <v>31</v>
      </c>
      <c r="I301">
        <v>43.77281</v>
      </c>
      <c r="J301">
        <v>11.29452</v>
      </c>
      <c r="K301">
        <v>5</v>
      </c>
      <c r="L301">
        <v>134</v>
      </c>
      <c r="M301">
        <v>2916.6137454326399</v>
      </c>
      <c r="N301">
        <v>1</v>
      </c>
      <c r="O301">
        <v>134</v>
      </c>
    </row>
    <row r="302" spans="1:15" x14ac:dyDescent="0.25">
      <c r="A302">
        <v>90</v>
      </c>
      <c r="B302" t="s">
        <v>8</v>
      </c>
      <c r="C302" s="1">
        <v>25398</v>
      </c>
      <c r="D302" s="1" t="s">
        <v>31</v>
      </c>
      <c r="E302">
        <v>43.769460000000002</v>
      </c>
      <c r="F302">
        <v>11.19172</v>
      </c>
      <c r="G302" s="1">
        <v>25290</v>
      </c>
      <c r="H302" s="1" t="s">
        <v>32</v>
      </c>
      <c r="I302">
        <v>43.81803</v>
      </c>
      <c r="J302">
        <v>11.211550000000001</v>
      </c>
      <c r="K302">
        <v>38</v>
      </c>
      <c r="L302">
        <v>38</v>
      </c>
      <c r="M302">
        <v>4377.3511296034876</v>
      </c>
      <c r="N302">
        <v>1</v>
      </c>
      <c r="O302">
        <v>38</v>
      </c>
    </row>
    <row r="303" spans="1:15" x14ac:dyDescent="0.25">
      <c r="A303">
        <v>90</v>
      </c>
      <c r="B303" t="s">
        <v>8</v>
      </c>
      <c r="C303" s="1">
        <v>25400</v>
      </c>
      <c r="D303" s="1" t="s">
        <v>31</v>
      </c>
      <c r="E303">
        <v>43.798690000000001</v>
      </c>
      <c r="F303">
        <v>11.20762</v>
      </c>
      <c r="G303" s="1">
        <v>25290</v>
      </c>
      <c r="H303" s="1" t="s">
        <v>32</v>
      </c>
      <c r="I303">
        <v>43.81803</v>
      </c>
      <c r="J303">
        <v>11.211550000000001</v>
      </c>
      <c r="K303">
        <v>60</v>
      </c>
      <c r="L303">
        <v>159.91999999999999</v>
      </c>
      <c r="M303">
        <v>2673.5625999799199</v>
      </c>
      <c r="N303">
        <v>2</v>
      </c>
      <c r="O303">
        <v>159.91999999999999</v>
      </c>
    </row>
    <row r="304" spans="1:15" x14ac:dyDescent="0.25">
      <c r="A304">
        <v>90</v>
      </c>
      <c r="B304" t="s">
        <v>8</v>
      </c>
      <c r="C304" s="1">
        <v>25400</v>
      </c>
      <c r="D304" s="1" t="s">
        <v>31</v>
      </c>
      <c r="E304">
        <v>43.798690000000001</v>
      </c>
      <c r="F304">
        <v>11.20762</v>
      </c>
      <c r="G304" s="1">
        <v>25398</v>
      </c>
      <c r="H304" s="1" t="s">
        <v>31</v>
      </c>
      <c r="I304">
        <v>43.769460000000002</v>
      </c>
      <c r="J304">
        <v>11.19172</v>
      </c>
      <c r="K304">
        <v>13</v>
      </c>
      <c r="L304">
        <v>961.4</v>
      </c>
      <c r="M304">
        <v>2989.529089068456</v>
      </c>
      <c r="N304">
        <v>2</v>
      </c>
      <c r="O304">
        <v>961.4</v>
      </c>
    </row>
    <row r="305" spans="1:15" x14ac:dyDescent="0.25">
      <c r="A305">
        <v>90</v>
      </c>
      <c r="B305" t="s">
        <v>8</v>
      </c>
      <c r="C305" s="1">
        <v>25401</v>
      </c>
      <c r="D305" s="1" t="s">
        <v>36</v>
      </c>
      <c r="E305">
        <v>43.87838</v>
      </c>
      <c r="F305">
        <v>11.103210000000001</v>
      </c>
      <c r="G305" s="1">
        <v>25290</v>
      </c>
      <c r="H305" s="1" t="s">
        <v>32</v>
      </c>
      <c r="I305">
        <v>43.81803</v>
      </c>
      <c r="J305">
        <v>11.211550000000001</v>
      </c>
      <c r="K305">
        <v>62</v>
      </c>
      <c r="L305">
        <v>58.8</v>
      </c>
      <c r="M305">
        <v>3767.2927545171601</v>
      </c>
      <c r="N305">
        <v>1</v>
      </c>
      <c r="O305">
        <v>58.8</v>
      </c>
    </row>
    <row r="306" spans="1:15" x14ac:dyDescent="0.25">
      <c r="A306">
        <v>90</v>
      </c>
      <c r="B306" t="s">
        <v>8</v>
      </c>
      <c r="C306" s="1">
        <v>25401</v>
      </c>
      <c r="D306" s="1" t="s">
        <v>36</v>
      </c>
      <c r="E306">
        <v>43.87838</v>
      </c>
      <c r="F306">
        <v>11.103210000000001</v>
      </c>
      <c r="G306" s="1">
        <v>25433</v>
      </c>
      <c r="H306" s="1" t="s">
        <v>44</v>
      </c>
      <c r="I306">
        <v>43.923850000000002</v>
      </c>
      <c r="J306">
        <v>11.03511</v>
      </c>
      <c r="K306">
        <v>18</v>
      </c>
      <c r="L306">
        <v>792</v>
      </c>
      <c r="M306">
        <v>2916.6137454326399</v>
      </c>
      <c r="N306">
        <v>1</v>
      </c>
      <c r="O306">
        <v>792</v>
      </c>
    </row>
    <row r="307" spans="1:15" x14ac:dyDescent="0.25">
      <c r="A307">
        <v>90</v>
      </c>
      <c r="B307" t="s">
        <v>8</v>
      </c>
      <c r="C307" s="1">
        <v>25421</v>
      </c>
      <c r="D307" s="1" t="s">
        <v>41</v>
      </c>
      <c r="E307">
        <v>43.619419999999998</v>
      </c>
      <c r="F307">
        <v>11.47508</v>
      </c>
      <c r="G307" s="1">
        <v>4142</v>
      </c>
      <c r="H307" s="1" t="s">
        <v>42</v>
      </c>
      <c r="I307">
        <v>43.529310000000002</v>
      </c>
      <c r="J307">
        <v>11.56737</v>
      </c>
      <c r="K307">
        <v>14</v>
      </c>
      <c r="L307">
        <v>86.4</v>
      </c>
      <c r="M307">
        <v>3645.7671817907999</v>
      </c>
      <c r="N307">
        <v>1</v>
      </c>
      <c r="O307">
        <v>86.4</v>
      </c>
    </row>
    <row r="308" spans="1:15" x14ac:dyDescent="0.25">
      <c r="A308">
        <v>90</v>
      </c>
      <c r="B308" t="s">
        <v>8</v>
      </c>
      <c r="C308" s="1">
        <v>25421</v>
      </c>
      <c r="D308" s="1" t="s">
        <v>41</v>
      </c>
      <c r="E308">
        <v>43.619419999999998</v>
      </c>
      <c r="F308">
        <v>11.47508</v>
      </c>
      <c r="G308" s="1">
        <v>4144</v>
      </c>
      <c r="H308" s="1" t="s">
        <v>38</v>
      </c>
      <c r="I308">
        <v>43.568049999999999</v>
      </c>
      <c r="J308">
        <v>11.529260000000001</v>
      </c>
      <c r="K308">
        <v>5</v>
      </c>
      <c r="L308">
        <v>194.4</v>
      </c>
      <c r="M308">
        <v>2187.4603090744799</v>
      </c>
      <c r="N308">
        <v>1</v>
      </c>
      <c r="O308">
        <v>194.4</v>
      </c>
    </row>
    <row r="309" spans="1:15" x14ac:dyDescent="0.25">
      <c r="A309">
        <v>90</v>
      </c>
      <c r="B309" t="s">
        <v>8</v>
      </c>
      <c r="C309" s="1">
        <v>33212</v>
      </c>
      <c r="D309" s="1" t="s">
        <v>46</v>
      </c>
      <c r="E309">
        <v>43.844110000000001</v>
      </c>
      <c r="F309">
        <v>10.525460000000001</v>
      </c>
      <c r="G309" s="1">
        <v>77150</v>
      </c>
      <c r="H309" s="1" t="s">
        <v>46</v>
      </c>
      <c r="I309">
        <v>43.860230000000001</v>
      </c>
      <c r="J309">
        <v>10.51596</v>
      </c>
      <c r="K309">
        <v>2</v>
      </c>
      <c r="L309">
        <v>153</v>
      </c>
      <c r="M309">
        <v>1069.4250399919681</v>
      </c>
      <c r="N309">
        <v>1</v>
      </c>
      <c r="O309">
        <v>153</v>
      </c>
    </row>
    <row r="310" spans="1:15" x14ac:dyDescent="0.25">
      <c r="A310">
        <v>90</v>
      </c>
      <c r="B310" t="s">
        <v>8</v>
      </c>
      <c r="C310" s="1">
        <v>33214</v>
      </c>
      <c r="D310" s="1" t="s">
        <v>51</v>
      </c>
      <c r="E310">
        <v>43.868270000000003</v>
      </c>
      <c r="F310">
        <v>10.252879999999999</v>
      </c>
      <c r="G310" s="1">
        <v>33220</v>
      </c>
      <c r="H310" s="1" t="s">
        <v>39</v>
      </c>
      <c r="I310">
        <v>43.894159999999999</v>
      </c>
      <c r="J310">
        <v>10.22714</v>
      </c>
      <c r="K310">
        <v>3</v>
      </c>
      <c r="L310">
        <v>210.7</v>
      </c>
      <c r="M310">
        <v>4642.2768781469513</v>
      </c>
      <c r="N310">
        <v>4</v>
      </c>
      <c r="O310">
        <v>210.7</v>
      </c>
    </row>
    <row r="311" spans="1:15" x14ac:dyDescent="0.25">
      <c r="A311">
        <v>90</v>
      </c>
      <c r="B311" t="s">
        <v>8</v>
      </c>
      <c r="C311" s="1">
        <v>33218</v>
      </c>
      <c r="D311" s="1" t="s">
        <v>52</v>
      </c>
      <c r="E311">
        <v>44.033050000000003</v>
      </c>
      <c r="F311">
        <v>10.50367</v>
      </c>
      <c r="G311" s="1">
        <v>33219</v>
      </c>
      <c r="H311" s="1" t="s">
        <v>47</v>
      </c>
      <c r="I311">
        <v>44.110500000000002</v>
      </c>
      <c r="J311">
        <v>10.41159</v>
      </c>
      <c r="K311">
        <v>24</v>
      </c>
      <c r="L311">
        <v>358.5</v>
      </c>
      <c r="M311">
        <v>4131.8694726962403</v>
      </c>
      <c r="N311">
        <v>1</v>
      </c>
      <c r="O311">
        <v>358.5</v>
      </c>
    </row>
    <row r="312" spans="1:15" x14ac:dyDescent="0.25">
      <c r="A312">
        <v>90</v>
      </c>
      <c r="B312" t="s">
        <v>8</v>
      </c>
      <c r="C312" s="1">
        <v>33220</v>
      </c>
      <c r="D312" s="1" t="s">
        <v>39</v>
      </c>
      <c r="E312">
        <v>43.894159999999999</v>
      </c>
      <c r="F312">
        <v>10.22714</v>
      </c>
      <c r="G312" s="1">
        <v>33221</v>
      </c>
      <c r="H312" s="1" t="s">
        <v>40</v>
      </c>
      <c r="I312">
        <v>43.956339999999997</v>
      </c>
      <c r="J312">
        <v>10.22996</v>
      </c>
      <c r="K312">
        <v>5</v>
      </c>
      <c r="L312">
        <v>168.3</v>
      </c>
      <c r="M312">
        <v>10164.398902832751</v>
      </c>
      <c r="N312">
        <v>4</v>
      </c>
      <c r="O312">
        <v>168.3</v>
      </c>
    </row>
    <row r="313" spans="1:15" x14ac:dyDescent="0.25">
      <c r="A313">
        <v>90</v>
      </c>
      <c r="B313" t="s">
        <v>8</v>
      </c>
      <c r="C313" s="1">
        <v>4144</v>
      </c>
      <c r="D313" s="1" t="s">
        <v>38</v>
      </c>
      <c r="E313">
        <v>43.568049999999999</v>
      </c>
      <c r="F313">
        <v>11.529260000000001</v>
      </c>
      <c r="G313" s="1">
        <v>25421</v>
      </c>
      <c r="H313" s="1" t="s">
        <v>41</v>
      </c>
      <c r="I313">
        <v>43.619419999999998</v>
      </c>
      <c r="J313">
        <v>11.47508</v>
      </c>
      <c r="K313">
        <v>5</v>
      </c>
      <c r="L313">
        <v>82.6</v>
      </c>
      <c r="M313">
        <v>6691.1980343133819</v>
      </c>
      <c r="N313">
        <v>1</v>
      </c>
      <c r="O313">
        <v>82.6</v>
      </c>
    </row>
    <row r="314" spans="1:15" x14ac:dyDescent="0.25">
      <c r="A314">
        <v>90</v>
      </c>
      <c r="B314" t="s">
        <v>8</v>
      </c>
      <c r="C314" s="1">
        <v>4144</v>
      </c>
      <c r="D314" s="1" t="s">
        <v>38</v>
      </c>
      <c r="E314">
        <v>43.568049999999999</v>
      </c>
      <c r="F314">
        <v>11.529260000000001</v>
      </c>
      <c r="G314" s="1">
        <v>4142</v>
      </c>
      <c r="H314" s="1" t="s">
        <v>42</v>
      </c>
      <c r="I314">
        <v>43.529310000000002</v>
      </c>
      <c r="J314">
        <v>11.56737</v>
      </c>
      <c r="K314">
        <v>7</v>
      </c>
      <c r="L314">
        <v>244.6</v>
      </c>
      <c r="M314">
        <v>1458.30687271632</v>
      </c>
      <c r="N314">
        <v>1</v>
      </c>
      <c r="O314">
        <v>244.6</v>
      </c>
    </row>
    <row r="315" spans="1:15" x14ac:dyDescent="0.25">
      <c r="A315">
        <v>90</v>
      </c>
      <c r="B315" t="s">
        <v>8</v>
      </c>
      <c r="C315" s="1">
        <v>46445</v>
      </c>
      <c r="D315" s="1" t="s">
        <v>35</v>
      </c>
      <c r="E315">
        <v>43.10801</v>
      </c>
      <c r="F315">
        <v>12.377940000000001</v>
      </c>
      <c r="G315" s="1">
        <v>46468</v>
      </c>
      <c r="H315" s="1" t="s">
        <v>33</v>
      </c>
      <c r="I315">
        <v>43.116489999999999</v>
      </c>
      <c r="J315">
        <v>12.45126</v>
      </c>
      <c r="K315">
        <v>7</v>
      </c>
      <c r="L315">
        <v>369.4</v>
      </c>
      <c r="M315">
        <v>9381.7742144749918</v>
      </c>
      <c r="N315">
        <v>3</v>
      </c>
      <c r="O315">
        <v>369.4</v>
      </c>
    </row>
    <row r="316" spans="1:15" x14ac:dyDescent="0.25">
      <c r="A316">
        <v>90</v>
      </c>
      <c r="B316" t="s">
        <v>8</v>
      </c>
      <c r="C316" s="1">
        <v>46445</v>
      </c>
      <c r="D316" s="1" t="s">
        <v>35</v>
      </c>
      <c r="E316">
        <v>43.10801</v>
      </c>
      <c r="F316">
        <v>12.377940000000001</v>
      </c>
      <c r="G316" s="1">
        <v>46471</v>
      </c>
      <c r="H316" s="1" t="s">
        <v>34</v>
      </c>
      <c r="I316">
        <v>43.10031</v>
      </c>
      <c r="J316">
        <v>12.318519999999999</v>
      </c>
      <c r="K316">
        <v>9</v>
      </c>
      <c r="L316">
        <v>377</v>
      </c>
      <c r="M316">
        <v>5420.0405435956563</v>
      </c>
      <c r="N316">
        <v>3</v>
      </c>
      <c r="O316">
        <v>377</v>
      </c>
    </row>
    <row r="317" spans="1:15" x14ac:dyDescent="0.25">
      <c r="A317">
        <v>90</v>
      </c>
      <c r="B317" t="s">
        <v>8</v>
      </c>
      <c r="C317" s="1">
        <v>46471</v>
      </c>
      <c r="D317" s="1" t="s">
        <v>34</v>
      </c>
      <c r="E317">
        <v>43.10031</v>
      </c>
      <c r="F317">
        <v>12.318519999999999</v>
      </c>
      <c r="G317" s="1">
        <v>46445</v>
      </c>
      <c r="H317" s="1" t="s">
        <v>35</v>
      </c>
      <c r="I317">
        <v>43.10801</v>
      </c>
      <c r="J317">
        <v>12.377940000000001</v>
      </c>
      <c r="K317">
        <v>11</v>
      </c>
      <c r="L317">
        <v>678.87999999999988</v>
      </c>
      <c r="M317">
        <v>1701.35801816904</v>
      </c>
      <c r="N317">
        <v>1</v>
      </c>
      <c r="O317">
        <v>678.88</v>
      </c>
    </row>
    <row r="318" spans="1:15" x14ac:dyDescent="0.25">
      <c r="A318">
        <v>90</v>
      </c>
      <c r="B318" t="s">
        <v>8</v>
      </c>
      <c r="C318" s="1">
        <v>59131</v>
      </c>
      <c r="D318" s="1" t="s">
        <v>45</v>
      </c>
      <c r="E318">
        <v>43.331879999999998</v>
      </c>
      <c r="F318">
        <v>11.32122</v>
      </c>
      <c r="G318" s="1">
        <v>59157</v>
      </c>
      <c r="H318" s="1" t="s">
        <v>45</v>
      </c>
      <c r="I318">
        <v>43.29034</v>
      </c>
      <c r="J318">
        <v>11.33822</v>
      </c>
      <c r="K318">
        <v>20</v>
      </c>
      <c r="L318">
        <v>1303.42</v>
      </c>
      <c r="M318">
        <v>4.8610229090543999</v>
      </c>
      <c r="N318">
        <v>2</v>
      </c>
      <c r="O318">
        <v>1303.42</v>
      </c>
    </row>
    <row r="319" spans="1:15" x14ac:dyDescent="0.25">
      <c r="A319">
        <v>90</v>
      </c>
      <c r="B319" t="s">
        <v>8</v>
      </c>
      <c r="C319" s="1">
        <v>59157</v>
      </c>
      <c r="D319" s="1" t="s">
        <v>45</v>
      </c>
      <c r="E319">
        <v>43.29034</v>
      </c>
      <c r="F319">
        <v>11.33822</v>
      </c>
      <c r="G319" s="1">
        <v>59131</v>
      </c>
      <c r="H319" s="1" t="s">
        <v>45</v>
      </c>
      <c r="I319">
        <v>43.331879999999998</v>
      </c>
      <c r="J319">
        <v>11.32122</v>
      </c>
      <c r="K319">
        <v>7</v>
      </c>
      <c r="L319">
        <v>408.4</v>
      </c>
      <c r="M319">
        <v>2187.4603090744799</v>
      </c>
      <c r="N319">
        <v>1</v>
      </c>
      <c r="O319">
        <v>408.4</v>
      </c>
    </row>
    <row r="320" spans="1:15" x14ac:dyDescent="0.25">
      <c r="A320">
        <v>90</v>
      </c>
      <c r="B320" t="s">
        <v>8</v>
      </c>
      <c r="C320" s="1">
        <v>85210</v>
      </c>
      <c r="D320" s="1" t="s">
        <v>49</v>
      </c>
      <c r="E320">
        <v>43.928640000000001</v>
      </c>
      <c r="F320">
        <v>10.9284</v>
      </c>
      <c r="G320" s="1">
        <v>77334</v>
      </c>
      <c r="H320" s="1" t="s">
        <v>49</v>
      </c>
      <c r="I320">
        <v>43.939680000000003</v>
      </c>
      <c r="J320">
        <v>10.943490000000001</v>
      </c>
      <c r="K320">
        <v>1</v>
      </c>
      <c r="L320">
        <v>37</v>
      </c>
      <c r="M320">
        <v>850.67900908451998</v>
      </c>
      <c r="N320">
        <v>1</v>
      </c>
      <c r="O320">
        <v>37</v>
      </c>
    </row>
    <row r="321" spans="1:15" x14ac:dyDescent="0.25">
      <c r="A321">
        <v>90</v>
      </c>
      <c r="B321" t="s">
        <v>8</v>
      </c>
      <c r="C321" s="1">
        <v>92197</v>
      </c>
      <c r="D321" s="1" t="s">
        <v>53</v>
      </c>
      <c r="E321">
        <v>42.570590000000003</v>
      </c>
      <c r="F321">
        <v>12.632300000000001</v>
      </c>
      <c r="G321" s="1">
        <v>92198</v>
      </c>
      <c r="H321" s="1" t="s">
        <v>48</v>
      </c>
      <c r="I321">
        <v>42.529159999999997</v>
      </c>
      <c r="J321">
        <v>12.51361</v>
      </c>
      <c r="K321">
        <v>25</v>
      </c>
      <c r="L321">
        <v>475</v>
      </c>
      <c r="M321">
        <v>7218.6190199457833</v>
      </c>
      <c r="N321">
        <v>2</v>
      </c>
      <c r="O321">
        <v>475</v>
      </c>
    </row>
    <row r="322" spans="1:15" x14ac:dyDescent="0.25">
      <c r="A322">
        <v>90</v>
      </c>
      <c r="B322" t="s">
        <v>9</v>
      </c>
      <c r="C322" s="1">
        <v>25290</v>
      </c>
      <c r="D322" s="1" t="s">
        <v>32</v>
      </c>
      <c r="E322">
        <v>43.81803</v>
      </c>
      <c r="F322">
        <v>11.211550000000001</v>
      </c>
      <c r="G322" s="1">
        <v>25239</v>
      </c>
      <c r="H322" s="1" t="s">
        <v>31</v>
      </c>
      <c r="I322">
        <v>43.77281</v>
      </c>
      <c r="J322">
        <v>11.29452</v>
      </c>
      <c r="K322">
        <v>130.00000000000651</v>
      </c>
      <c r="L322">
        <v>4987.0999999999995</v>
      </c>
      <c r="M322">
        <v>18228.835908953999</v>
      </c>
      <c r="N322">
        <v>5</v>
      </c>
      <c r="O322">
        <v>4987.1000000000004</v>
      </c>
    </row>
    <row r="323" spans="1:15" x14ac:dyDescent="0.25">
      <c r="A323">
        <v>90</v>
      </c>
      <c r="B323" t="s">
        <v>9</v>
      </c>
      <c r="C323" s="1">
        <v>25290</v>
      </c>
      <c r="D323" s="1" t="s">
        <v>32</v>
      </c>
      <c r="E323">
        <v>43.81803</v>
      </c>
      <c r="F323">
        <v>11.211550000000001</v>
      </c>
      <c r="G323" s="1">
        <v>25398</v>
      </c>
      <c r="H323" s="1" t="s">
        <v>31</v>
      </c>
      <c r="I323">
        <v>43.769460000000002</v>
      </c>
      <c r="J323">
        <v>11.19172</v>
      </c>
      <c r="K323">
        <v>34.99999942419759</v>
      </c>
      <c r="L323">
        <v>2019.72</v>
      </c>
      <c r="M323">
        <v>11182.78320227965</v>
      </c>
      <c r="N323">
        <v>4</v>
      </c>
      <c r="O323">
        <v>2019.72</v>
      </c>
    </row>
    <row r="324" spans="1:15" x14ac:dyDescent="0.25">
      <c r="A324">
        <v>90</v>
      </c>
      <c r="B324" t="s">
        <v>9</v>
      </c>
      <c r="C324" s="1">
        <v>25290</v>
      </c>
      <c r="D324" s="1" t="s">
        <v>32</v>
      </c>
      <c r="E324">
        <v>43.81803</v>
      </c>
      <c r="F324">
        <v>11.211550000000001</v>
      </c>
      <c r="G324" s="1">
        <v>25400</v>
      </c>
      <c r="H324" s="1" t="s">
        <v>31</v>
      </c>
      <c r="I324">
        <v>43.798690000000001</v>
      </c>
      <c r="J324">
        <v>11.20762</v>
      </c>
      <c r="K324">
        <v>72.999999999997755</v>
      </c>
      <c r="L324">
        <v>6189.9599999999946</v>
      </c>
      <c r="M324">
        <v>10086.622536287879</v>
      </c>
      <c r="N324">
        <v>7</v>
      </c>
      <c r="O324">
        <v>6189.96</v>
      </c>
    </row>
    <row r="325" spans="1:15" x14ac:dyDescent="0.25">
      <c r="A325">
        <v>90</v>
      </c>
      <c r="B325" t="s">
        <v>9</v>
      </c>
      <c r="C325" s="1">
        <v>25290</v>
      </c>
      <c r="D325" s="1" t="s">
        <v>32</v>
      </c>
      <c r="E325">
        <v>43.81803</v>
      </c>
      <c r="F325">
        <v>11.211550000000001</v>
      </c>
      <c r="G325" s="1">
        <v>25401</v>
      </c>
      <c r="H325" s="1" t="s">
        <v>36</v>
      </c>
      <c r="I325">
        <v>43.87838</v>
      </c>
      <c r="J325">
        <v>11.103210000000001</v>
      </c>
      <c r="K325">
        <v>97.000000200605285</v>
      </c>
      <c r="L325">
        <v>1746.939635773213</v>
      </c>
      <c r="M325">
        <v>18690.63308531417</v>
      </c>
      <c r="N325">
        <v>5</v>
      </c>
      <c r="O325">
        <v>2791.3</v>
      </c>
    </row>
    <row r="326" spans="1:15" x14ac:dyDescent="0.25">
      <c r="A326">
        <v>90</v>
      </c>
      <c r="B326" t="s">
        <v>9</v>
      </c>
      <c r="C326" s="1">
        <v>25290</v>
      </c>
      <c r="D326" s="1" t="s">
        <v>32</v>
      </c>
      <c r="E326">
        <v>43.81803</v>
      </c>
      <c r="F326">
        <v>11.211550000000001</v>
      </c>
      <c r="G326" s="1">
        <v>25417</v>
      </c>
      <c r="H326" s="1" t="s">
        <v>37</v>
      </c>
      <c r="I326">
        <v>43.754040000000003</v>
      </c>
      <c r="J326">
        <v>11.32128</v>
      </c>
      <c r="K326">
        <v>63.999999999961538</v>
      </c>
      <c r="L326">
        <v>973.3</v>
      </c>
      <c r="M326">
        <v>14194.18689443885</v>
      </c>
      <c r="N326">
        <v>2</v>
      </c>
      <c r="O326">
        <v>973.3</v>
      </c>
    </row>
    <row r="327" spans="1:15" x14ac:dyDescent="0.25">
      <c r="A327">
        <v>90</v>
      </c>
      <c r="B327" t="s">
        <v>9</v>
      </c>
      <c r="C327" s="1">
        <v>25398</v>
      </c>
      <c r="D327" s="1" t="s">
        <v>31</v>
      </c>
      <c r="E327">
        <v>43.769460000000002</v>
      </c>
      <c r="F327">
        <v>11.19172</v>
      </c>
      <c r="G327" s="1">
        <v>25239</v>
      </c>
      <c r="H327" s="1" t="s">
        <v>31</v>
      </c>
      <c r="I327">
        <v>43.77281</v>
      </c>
      <c r="J327">
        <v>11.29452</v>
      </c>
      <c r="K327">
        <v>4</v>
      </c>
      <c r="L327">
        <v>134</v>
      </c>
      <c r="M327">
        <v>2916.6137454326399</v>
      </c>
      <c r="N327">
        <v>1</v>
      </c>
      <c r="O327">
        <v>134</v>
      </c>
    </row>
    <row r="328" spans="1:15" x14ac:dyDescent="0.25">
      <c r="A328">
        <v>90</v>
      </c>
      <c r="B328" t="s">
        <v>9</v>
      </c>
      <c r="C328" s="1">
        <v>25398</v>
      </c>
      <c r="D328" s="1" t="s">
        <v>31</v>
      </c>
      <c r="E328">
        <v>43.769460000000002</v>
      </c>
      <c r="F328">
        <v>11.19172</v>
      </c>
      <c r="G328" s="1">
        <v>25290</v>
      </c>
      <c r="H328" s="1" t="s">
        <v>32</v>
      </c>
      <c r="I328">
        <v>43.81803</v>
      </c>
      <c r="J328">
        <v>11.211550000000001</v>
      </c>
      <c r="K328">
        <v>14</v>
      </c>
      <c r="L328">
        <v>38</v>
      </c>
      <c r="M328">
        <v>4377.3511296034876</v>
      </c>
      <c r="N328">
        <v>1</v>
      </c>
      <c r="O328">
        <v>38</v>
      </c>
    </row>
    <row r="329" spans="1:15" x14ac:dyDescent="0.25">
      <c r="A329">
        <v>90</v>
      </c>
      <c r="B329" t="s">
        <v>9</v>
      </c>
      <c r="C329" s="1">
        <v>25400</v>
      </c>
      <c r="D329" s="1" t="s">
        <v>31</v>
      </c>
      <c r="E329">
        <v>43.798690000000001</v>
      </c>
      <c r="F329">
        <v>11.20762</v>
      </c>
      <c r="G329" s="1">
        <v>25290</v>
      </c>
      <c r="H329" s="1" t="s">
        <v>32</v>
      </c>
      <c r="I329">
        <v>43.81803</v>
      </c>
      <c r="J329">
        <v>11.211550000000001</v>
      </c>
      <c r="K329">
        <v>60.000000153911778</v>
      </c>
      <c r="L329">
        <v>159.91999999999999</v>
      </c>
      <c r="M329">
        <v>2673.5625999799199</v>
      </c>
      <c r="N329">
        <v>2</v>
      </c>
      <c r="O329">
        <v>159.91999999999999</v>
      </c>
    </row>
    <row r="330" spans="1:15" x14ac:dyDescent="0.25">
      <c r="A330">
        <v>90</v>
      </c>
      <c r="B330" t="s">
        <v>9</v>
      </c>
      <c r="C330" s="1">
        <v>25400</v>
      </c>
      <c r="D330" s="1" t="s">
        <v>31</v>
      </c>
      <c r="E330">
        <v>43.798690000000001</v>
      </c>
      <c r="F330">
        <v>11.20762</v>
      </c>
      <c r="G330" s="1">
        <v>25398</v>
      </c>
      <c r="H330" s="1" t="s">
        <v>31</v>
      </c>
      <c r="I330">
        <v>43.769460000000002</v>
      </c>
      <c r="J330">
        <v>11.19172</v>
      </c>
      <c r="K330">
        <v>13</v>
      </c>
      <c r="L330">
        <v>961.4</v>
      </c>
      <c r="M330">
        <v>2989.529089068456</v>
      </c>
      <c r="N330">
        <v>2</v>
      </c>
      <c r="O330">
        <v>961.4</v>
      </c>
    </row>
    <row r="331" spans="1:15" x14ac:dyDescent="0.25">
      <c r="A331">
        <v>90</v>
      </c>
      <c r="B331" t="s">
        <v>9</v>
      </c>
      <c r="C331" s="1">
        <v>25401</v>
      </c>
      <c r="D331" s="1" t="s">
        <v>36</v>
      </c>
      <c r="E331">
        <v>43.87838</v>
      </c>
      <c r="F331">
        <v>11.103210000000001</v>
      </c>
      <c r="G331" s="1">
        <v>25290</v>
      </c>
      <c r="H331" s="1" t="s">
        <v>32</v>
      </c>
      <c r="I331">
        <v>43.81803</v>
      </c>
      <c r="J331">
        <v>11.211550000000001</v>
      </c>
      <c r="K331">
        <v>18</v>
      </c>
      <c r="L331">
        <v>58.8</v>
      </c>
      <c r="M331">
        <v>3767.2927545171601</v>
      </c>
      <c r="N331">
        <v>1</v>
      </c>
      <c r="O331">
        <v>58.8</v>
      </c>
    </row>
    <row r="332" spans="1:15" x14ac:dyDescent="0.25">
      <c r="A332">
        <v>90</v>
      </c>
      <c r="B332" t="s">
        <v>9</v>
      </c>
      <c r="C332" s="1">
        <v>25401</v>
      </c>
      <c r="D332" s="1" t="s">
        <v>36</v>
      </c>
      <c r="E332">
        <v>43.87838</v>
      </c>
      <c r="F332">
        <v>11.103210000000001</v>
      </c>
      <c r="G332" s="1">
        <v>25433</v>
      </c>
      <c r="H332" s="1" t="s">
        <v>44</v>
      </c>
      <c r="I332">
        <v>43.923850000000002</v>
      </c>
      <c r="J332">
        <v>11.03511</v>
      </c>
      <c r="K332">
        <v>18</v>
      </c>
      <c r="L332">
        <v>792</v>
      </c>
      <c r="M332">
        <v>2916.6137454326399</v>
      </c>
      <c r="N332">
        <v>1</v>
      </c>
      <c r="O332">
        <v>792</v>
      </c>
    </row>
    <row r="333" spans="1:15" x14ac:dyDescent="0.25">
      <c r="A333">
        <v>90</v>
      </c>
      <c r="B333" t="s">
        <v>9</v>
      </c>
      <c r="C333" s="1">
        <v>25421</v>
      </c>
      <c r="D333" s="1" t="s">
        <v>41</v>
      </c>
      <c r="E333">
        <v>43.619419999999998</v>
      </c>
      <c r="F333">
        <v>11.47508</v>
      </c>
      <c r="G333" s="1">
        <v>4142</v>
      </c>
      <c r="H333" s="1" t="s">
        <v>42</v>
      </c>
      <c r="I333">
        <v>43.529310000000002</v>
      </c>
      <c r="J333">
        <v>11.56737</v>
      </c>
      <c r="K333">
        <v>14</v>
      </c>
      <c r="L333">
        <v>86.4</v>
      </c>
      <c r="M333">
        <v>3645.7671817907999</v>
      </c>
      <c r="N333">
        <v>1</v>
      </c>
      <c r="O333">
        <v>86.4</v>
      </c>
    </row>
    <row r="334" spans="1:15" x14ac:dyDescent="0.25">
      <c r="A334">
        <v>90</v>
      </c>
      <c r="B334" t="s">
        <v>9</v>
      </c>
      <c r="C334" s="1">
        <v>25421</v>
      </c>
      <c r="D334" s="1" t="s">
        <v>41</v>
      </c>
      <c r="E334">
        <v>43.619419999999998</v>
      </c>
      <c r="F334">
        <v>11.47508</v>
      </c>
      <c r="G334" s="1">
        <v>4144</v>
      </c>
      <c r="H334" s="1" t="s">
        <v>38</v>
      </c>
      <c r="I334">
        <v>43.568049999999999</v>
      </c>
      <c r="J334">
        <v>11.529260000000001</v>
      </c>
      <c r="K334">
        <v>5</v>
      </c>
      <c r="L334">
        <v>194.4</v>
      </c>
      <c r="M334">
        <v>2187.4603090744799</v>
      </c>
      <c r="N334">
        <v>1</v>
      </c>
      <c r="O334">
        <v>194.4</v>
      </c>
    </row>
    <row r="335" spans="1:15" x14ac:dyDescent="0.25">
      <c r="A335">
        <v>90</v>
      </c>
      <c r="B335" t="s">
        <v>9</v>
      </c>
      <c r="C335" s="1">
        <v>32094</v>
      </c>
      <c r="D335" s="1" t="s">
        <v>54</v>
      </c>
      <c r="E335">
        <v>43.304879999999997</v>
      </c>
      <c r="F335">
        <v>10.5182</v>
      </c>
      <c r="G335" s="1">
        <v>32098</v>
      </c>
      <c r="H335" s="1" t="s">
        <v>50</v>
      </c>
      <c r="I335">
        <v>43.393940000000001</v>
      </c>
      <c r="J335">
        <v>10.43547</v>
      </c>
      <c r="K335">
        <v>8</v>
      </c>
      <c r="L335">
        <v>70.8</v>
      </c>
      <c r="M335">
        <v>2189.8908205290072</v>
      </c>
      <c r="N335">
        <v>1</v>
      </c>
      <c r="O335">
        <v>70.8</v>
      </c>
    </row>
    <row r="336" spans="1:15" x14ac:dyDescent="0.25">
      <c r="A336">
        <v>90</v>
      </c>
      <c r="B336" t="s">
        <v>9</v>
      </c>
      <c r="C336" s="1">
        <v>33212</v>
      </c>
      <c r="D336" s="1" t="s">
        <v>46</v>
      </c>
      <c r="E336">
        <v>43.844110000000001</v>
      </c>
      <c r="F336">
        <v>10.525460000000001</v>
      </c>
      <c r="G336" s="1">
        <v>77150</v>
      </c>
      <c r="H336" s="1" t="s">
        <v>46</v>
      </c>
      <c r="I336">
        <v>43.860230000000001</v>
      </c>
      <c r="J336">
        <v>10.51596</v>
      </c>
      <c r="K336">
        <v>9.0000002143116156</v>
      </c>
      <c r="L336">
        <v>153</v>
      </c>
      <c r="M336">
        <v>1069.4250399919681</v>
      </c>
      <c r="N336">
        <v>1</v>
      </c>
      <c r="O336">
        <v>153</v>
      </c>
    </row>
    <row r="337" spans="1:15" x14ac:dyDescent="0.25">
      <c r="A337">
        <v>90</v>
      </c>
      <c r="B337" t="s">
        <v>9</v>
      </c>
      <c r="C337" s="1">
        <v>33214</v>
      </c>
      <c r="D337" s="1" t="s">
        <v>51</v>
      </c>
      <c r="E337">
        <v>43.868270000000003</v>
      </c>
      <c r="F337">
        <v>10.252879999999999</v>
      </c>
      <c r="G337" s="1">
        <v>33220</v>
      </c>
      <c r="H337" s="1" t="s">
        <v>39</v>
      </c>
      <c r="I337">
        <v>43.894159999999999</v>
      </c>
      <c r="J337">
        <v>10.22714</v>
      </c>
      <c r="K337">
        <v>3</v>
      </c>
      <c r="L337">
        <v>210.7</v>
      </c>
      <c r="M337">
        <v>4642.2768781469513</v>
      </c>
      <c r="N337">
        <v>4</v>
      </c>
      <c r="O337">
        <v>210.7</v>
      </c>
    </row>
    <row r="338" spans="1:15" x14ac:dyDescent="0.25">
      <c r="A338">
        <v>90</v>
      </c>
      <c r="B338" t="s">
        <v>9</v>
      </c>
      <c r="C338" s="1">
        <v>33218</v>
      </c>
      <c r="D338" s="1" t="s">
        <v>52</v>
      </c>
      <c r="E338">
        <v>44.033050000000003</v>
      </c>
      <c r="F338">
        <v>10.50367</v>
      </c>
      <c r="G338" s="1">
        <v>33219</v>
      </c>
      <c r="H338" s="1" t="s">
        <v>47</v>
      </c>
      <c r="I338">
        <v>44.110500000000002</v>
      </c>
      <c r="J338">
        <v>10.41159</v>
      </c>
      <c r="K338">
        <v>23.99999944269074</v>
      </c>
      <c r="L338">
        <v>358.5</v>
      </c>
      <c r="M338">
        <v>4131.8694726962403</v>
      </c>
      <c r="N338">
        <v>1</v>
      </c>
      <c r="O338">
        <v>358.5</v>
      </c>
    </row>
    <row r="339" spans="1:15" x14ac:dyDescent="0.25">
      <c r="A339">
        <v>90</v>
      </c>
      <c r="B339" t="s">
        <v>9</v>
      </c>
      <c r="C339" s="1">
        <v>33220</v>
      </c>
      <c r="D339" s="1" t="s">
        <v>39</v>
      </c>
      <c r="E339">
        <v>43.894159999999999</v>
      </c>
      <c r="F339">
        <v>10.22714</v>
      </c>
      <c r="G339" s="1">
        <v>33221</v>
      </c>
      <c r="H339" s="1" t="s">
        <v>40</v>
      </c>
      <c r="I339">
        <v>43.956339999999997</v>
      </c>
      <c r="J339">
        <v>10.22996</v>
      </c>
      <c r="K339">
        <v>5</v>
      </c>
      <c r="L339">
        <v>168.3</v>
      </c>
      <c r="M339">
        <v>10164.398902832751</v>
      </c>
      <c r="N339">
        <v>4</v>
      </c>
      <c r="O339">
        <v>168.3</v>
      </c>
    </row>
    <row r="340" spans="1:15" x14ac:dyDescent="0.25">
      <c r="A340">
        <v>90</v>
      </c>
      <c r="B340" t="s">
        <v>9</v>
      </c>
      <c r="C340" s="1">
        <v>4144</v>
      </c>
      <c r="D340" s="1" t="s">
        <v>38</v>
      </c>
      <c r="E340">
        <v>43.568049999999999</v>
      </c>
      <c r="F340">
        <v>11.529260000000001</v>
      </c>
      <c r="G340" s="1">
        <v>25421</v>
      </c>
      <c r="H340" s="1" t="s">
        <v>41</v>
      </c>
      <c r="I340">
        <v>43.619419999999998</v>
      </c>
      <c r="J340">
        <v>11.47508</v>
      </c>
      <c r="K340">
        <v>5</v>
      </c>
      <c r="L340">
        <v>82.6</v>
      </c>
      <c r="M340">
        <v>6691.1980343133819</v>
      </c>
      <c r="N340">
        <v>1</v>
      </c>
      <c r="O340">
        <v>82.6</v>
      </c>
    </row>
    <row r="341" spans="1:15" x14ac:dyDescent="0.25">
      <c r="A341">
        <v>90</v>
      </c>
      <c r="B341" t="s">
        <v>9</v>
      </c>
      <c r="C341" s="1">
        <v>4144</v>
      </c>
      <c r="D341" s="1" t="s">
        <v>38</v>
      </c>
      <c r="E341">
        <v>43.568049999999999</v>
      </c>
      <c r="F341">
        <v>11.529260000000001</v>
      </c>
      <c r="G341" s="1">
        <v>4142</v>
      </c>
      <c r="H341" s="1" t="s">
        <v>42</v>
      </c>
      <c r="I341">
        <v>43.529310000000002</v>
      </c>
      <c r="J341">
        <v>11.56737</v>
      </c>
      <c r="K341">
        <v>4</v>
      </c>
      <c r="L341">
        <v>244.6</v>
      </c>
      <c r="M341">
        <v>1458.30687271632</v>
      </c>
      <c r="N341">
        <v>1</v>
      </c>
      <c r="O341">
        <v>244.6</v>
      </c>
    </row>
    <row r="342" spans="1:15" x14ac:dyDescent="0.25">
      <c r="A342">
        <v>90</v>
      </c>
      <c r="B342" t="s">
        <v>9</v>
      </c>
      <c r="C342" s="1">
        <v>46445</v>
      </c>
      <c r="D342" s="1" t="s">
        <v>35</v>
      </c>
      <c r="E342">
        <v>43.10801</v>
      </c>
      <c r="F342">
        <v>12.377940000000001</v>
      </c>
      <c r="G342" s="1">
        <v>46468</v>
      </c>
      <c r="H342" s="1" t="s">
        <v>33</v>
      </c>
      <c r="I342">
        <v>43.116489999999999</v>
      </c>
      <c r="J342">
        <v>12.45126</v>
      </c>
      <c r="K342">
        <v>9</v>
      </c>
      <c r="L342">
        <v>369.4</v>
      </c>
      <c r="M342">
        <v>9381.7742144749918</v>
      </c>
      <c r="N342">
        <v>3</v>
      </c>
      <c r="O342">
        <v>369.4</v>
      </c>
    </row>
    <row r="343" spans="1:15" x14ac:dyDescent="0.25">
      <c r="A343">
        <v>90</v>
      </c>
      <c r="B343" t="s">
        <v>9</v>
      </c>
      <c r="C343" s="1">
        <v>46445</v>
      </c>
      <c r="D343" s="1" t="s">
        <v>35</v>
      </c>
      <c r="E343">
        <v>43.10801</v>
      </c>
      <c r="F343">
        <v>12.377940000000001</v>
      </c>
      <c r="G343" s="1">
        <v>46471</v>
      </c>
      <c r="H343" s="1" t="s">
        <v>34</v>
      </c>
      <c r="I343">
        <v>43.10031</v>
      </c>
      <c r="J343">
        <v>12.318519999999999</v>
      </c>
      <c r="K343">
        <v>8</v>
      </c>
      <c r="L343">
        <v>377</v>
      </c>
      <c r="M343">
        <v>5420.0405435956563</v>
      </c>
      <c r="N343">
        <v>3</v>
      </c>
      <c r="O343">
        <v>377</v>
      </c>
    </row>
    <row r="344" spans="1:15" x14ac:dyDescent="0.25">
      <c r="A344">
        <v>90</v>
      </c>
      <c r="B344" t="s">
        <v>9</v>
      </c>
      <c r="C344" s="1">
        <v>46471</v>
      </c>
      <c r="D344" s="1" t="s">
        <v>34</v>
      </c>
      <c r="E344">
        <v>43.10031</v>
      </c>
      <c r="F344">
        <v>12.318519999999999</v>
      </c>
      <c r="G344" s="1">
        <v>46445</v>
      </c>
      <c r="H344" s="1" t="s">
        <v>35</v>
      </c>
      <c r="I344">
        <v>43.10801</v>
      </c>
      <c r="J344">
        <v>12.377940000000001</v>
      </c>
      <c r="K344">
        <v>11</v>
      </c>
      <c r="L344">
        <v>678.88000000000011</v>
      </c>
      <c r="M344">
        <v>1701.35801816904</v>
      </c>
      <c r="N344">
        <v>1</v>
      </c>
      <c r="O344">
        <v>678.88</v>
      </c>
    </row>
    <row r="345" spans="1:15" x14ac:dyDescent="0.25">
      <c r="A345">
        <v>90</v>
      </c>
      <c r="B345" t="s">
        <v>9</v>
      </c>
      <c r="C345" s="1">
        <v>59131</v>
      </c>
      <c r="D345" s="1" t="s">
        <v>45</v>
      </c>
      <c r="E345">
        <v>43.331879999999998</v>
      </c>
      <c r="F345">
        <v>11.32122</v>
      </c>
      <c r="G345" s="1">
        <v>59157</v>
      </c>
      <c r="H345" s="1" t="s">
        <v>45</v>
      </c>
      <c r="I345">
        <v>43.29034</v>
      </c>
      <c r="J345">
        <v>11.33822</v>
      </c>
      <c r="K345">
        <v>20</v>
      </c>
      <c r="L345">
        <v>1303.42</v>
      </c>
      <c r="M345">
        <v>4.8610229090543999</v>
      </c>
      <c r="N345">
        <v>2</v>
      </c>
      <c r="O345">
        <v>1303.42</v>
      </c>
    </row>
    <row r="346" spans="1:15" x14ac:dyDescent="0.25">
      <c r="A346">
        <v>90</v>
      </c>
      <c r="B346" t="s">
        <v>9</v>
      </c>
      <c r="C346" s="1">
        <v>59157</v>
      </c>
      <c r="D346" s="1" t="s">
        <v>45</v>
      </c>
      <c r="E346">
        <v>43.29034</v>
      </c>
      <c r="F346">
        <v>11.33822</v>
      </c>
      <c r="G346" s="1">
        <v>59131</v>
      </c>
      <c r="H346" s="1" t="s">
        <v>45</v>
      </c>
      <c r="I346">
        <v>43.331879999999998</v>
      </c>
      <c r="J346">
        <v>11.32122</v>
      </c>
      <c r="K346">
        <v>7</v>
      </c>
      <c r="L346">
        <v>408.4</v>
      </c>
      <c r="M346">
        <v>2187.4603090744799</v>
      </c>
      <c r="N346">
        <v>1</v>
      </c>
      <c r="O346">
        <v>408.4</v>
      </c>
    </row>
    <row r="347" spans="1:15" x14ac:dyDescent="0.25">
      <c r="A347">
        <v>90</v>
      </c>
      <c r="B347" t="s">
        <v>9</v>
      </c>
      <c r="C347" s="1">
        <v>77343</v>
      </c>
      <c r="D347" s="1" t="s">
        <v>43</v>
      </c>
      <c r="E347">
        <v>42.812559999999998</v>
      </c>
      <c r="F347">
        <v>10.31758</v>
      </c>
      <c r="G347" s="1">
        <v>32095</v>
      </c>
      <c r="H347" s="1" t="s">
        <v>43</v>
      </c>
      <c r="I347">
        <v>42.810519999999997</v>
      </c>
      <c r="J347">
        <v>10.30799</v>
      </c>
      <c r="K347">
        <v>3</v>
      </c>
      <c r="L347">
        <v>273.70000000000482</v>
      </c>
      <c r="M347">
        <v>291.661374543264</v>
      </c>
      <c r="N347">
        <v>1</v>
      </c>
      <c r="O347">
        <v>273.7</v>
      </c>
    </row>
    <row r="348" spans="1:15" x14ac:dyDescent="0.25">
      <c r="A348">
        <v>90</v>
      </c>
      <c r="B348" t="s">
        <v>9</v>
      </c>
      <c r="C348" s="1">
        <v>85210</v>
      </c>
      <c r="D348" s="1" t="s">
        <v>49</v>
      </c>
      <c r="E348">
        <v>43.928640000000001</v>
      </c>
      <c r="F348">
        <v>10.9284</v>
      </c>
      <c r="G348" s="1">
        <v>77334</v>
      </c>
      <c r="H348" s="1" t="s">
        <v>49</v>
      </c>
      <c r="I348">
        <v>43.939680000000003</v>
      </c>
      <c r="J348">
        <v>10.943490000000001</v>
      </c>
      <c r="K348">
        <v>3</v>
      </c>
      <c r="L348">
        <v>37</v>
      </c>
      <c r="M348">
        <v>850.67900908451998</v>
      </c>
      <c r="N348">
        <v>1</v>
      </c>
      <c r="O348">
        <v>37</v>
      </c>
    </row>
    <row r="349" spans="1:15" x14ac:dyDescent="0.25">
      <c r="A349">
        <v>90</v>
      </c>
      <c r="B349" t="s">
        <v>9</v>
      </c>
      <c r="C349" s="1">
        <v>92197</v>
      </c>
      <c r="D349" s="1" t="s">
        <v>53</v>
      </c>
      <c r="E349">
        <v>42.570590000000003</v>
      </c>
      <c r="F349">
        <v>12.632300000000001</v>
      </c>
      <c r="G349" s="1">
        <v>92198</v>
      </c>
      <c r="H349" s="1" t="s">
        <v>48</v>
      </c>
      <c r="I349">
        <v>42.529159999999997</v>
      </c>
      <c r="J349">
        <v>12.51361</v>
      </c>
      <c r="K349">
        <v>25</v>
      </c>
      <c r="L349">
        <v>475.00000000000011</v>
      </c>
      <c r="M349">
        <v>7218.6190199457833</v>
      </c>
      <c r="N349">
        <v>2</v>
      </c>
      <c r="O349">
        <v>475</v>
      </c>
    </row>
    <row r="350" spans="1:15" x14ac:dyDescent="0.25">
      <c r="A350">
        <v>110</v>
      </c>
      <c r="B350" t="s">
        <v>7</v>
      </c>
      <c r="C350" s="1">
        <v>25290</v>
      </c>
      <c r="D350" s="1" t="s">
        <v>32</v>
      </c>
      <c r="E350">
        <v>43.81803</v>
      </c>
      <c r="F350">
        <v>11.211550000000001</v>
      </c>
      <c r="G350" s="1">
        <v>25239</v>
      </c>
      <c r="H350" s="1" t="s">
        <v>31</v>
      </c>
      <c r="I350">
        <v>43.77281</v>
      </c>
      <c r="J350">
        <v>11.29452</v>
      </c>
      <c r="K350">
        <v>130</v>
      </c>
      <c r="L350">
        <v>4987.1000000000004</v>
      </c>
      <c r="M350">
        <v>18228.835908953999</v>
      </c>
      <c r="N350">
        <v>5</v>
      </c>
      <c r="O350">
        <v>4987.1000000000004</v>
      </c>
    </row>
    <row r="351" spans="1:15" x14ac:dyDescent="0.25">
      <c r="A351">
        <v>110</v>
      </c>
      <c r="B351" t="s">
        <v>7</v>
      </c>
      <c r="C351" s="1">
        <v>25290</v>
      </c>
      <c r="D351" s="1" t="s">
        <v>32</v>
      </c>
      <c r="E351">
        <v>43.81803</v>
      </c>
      <c r="F351">
        <v>11.211550000000001</v>
      </c>
      <c r="G351" s="1">
        <v>25398</v>
      </c>
      <c r="H351" s="1" t="s">
        <v>31</v>
      </c>
      <c r="I351">
        <v>43.769460000000002</v>
      </c>
      <c r="J351">
        <v>11.19172</v>
      </c>
      <c r="K351">
        <v>35</v>
      </c>
      <c r="L351">
        <v>2019.72</v>
      </c>
      <c r="M351">
        <v>11182.78320227965</v>
      </c>
      <c r="N351">
        <v>4</v>
      </c>
      <c r="O351">
        <v>2019.72</v>
      </c>
    </row>
    <row r="352" spans="1:15" x14ac:dyDescent="0.25">
      <c r="A352">
        <v>110</v>
      </c>
      <c r="B352" t="s">
        <v>7</v>
      </c>
      <c r="C352" s="1">
        <v>25290</v>
      </c>
      <c r="D352" s="1" t="s">
        <v>32</v>
      </c>
      <c r="E352">
        <v>43.81803</v>
      </c>
      <c r="F352">
        <v>11.211550000000001</v>
      </c>
      <c r="G352" s="1">
        <v>25400</v>
      </c>
      <c r="H352" s="1" t="s">
        <v>31</v>
      </c>
      <c r="I352">
        <v>43.798690000000001</v>
      </c>
      <c r="J352">
        <v>11.20762</v>
      </c>
      <c r="K352">
        <v>78</v>
      </c>
      <c r="L352">
        <v>6189.96</v>
      </c>
      <c r="M352">
        <v>10086.622536287879</v>
      </c>
      <c r="N352">
        <v>7</v>
      </c>
      <c r="O352">
        <v>6189.96</v>
      </c>
    </row>
    <row r="353" spans="1:15" x14ac:dyDescent="0.25">
      <c r="A353">
        <v>110</v>
      </c>
      <c r="B353" t="s">
        <v>7</v>
      </c>
      <c r="C353" s="1">
        <v>25290</v>
      </c>
      <c r="D353" s="1" t="s">
        <v>32</v>
      </c>
      <c r="E353">
        <v>43.81803</v>
      </c>
      <c r="F353">
        <v>11.211550000000001</v>
      </c>
      <c r="G353" s="1">
        <v>25401</v>
      </c>
      <c r="H353" s="1" t="s">
        <v>36</v>
      </c>
      <c r="I353">
        <v>43.87838</v>
      </c>
      <c r="J353">
        <v>11.103210000000001</v>
      </c>
      <c r="K353">
        <v>155</v>
      </c>
      <c r="L353">
        <v>2791.3</v>
      </c>
      <c r="M353">
        <v>18690.63308531417</v>
      </c>
      <c r="N353">
        <v>5</v>
      </c>
      <c r="O353">
        <v>2791.3</v>
      </c>
    </row>
    <row r="354" spans="1:15" x14ac:dyDescent="0.25">
      <c r="A354">
        <v>110</v>
      </c>
      <c r="B354" t="s">
        <v>7</v>
      </c>
      <c r="C354" s="1">
        <v>25290</v>
      </c>
      <c r="D354" s="1" t="s">
        <v>32</v>
      </c>
      <c r="E354">
        <v>43.81803</v>
      </c>
      <c r="F354">
        <v>11.211550000000001</v>
      </c>
      <c r="G354" s="1">
        <v>25417</v>
      </c>
      <c r="H354" s="1" t="s">
        <v>37</v>
      </c>
      <c r="I354">
        <v>43.754040000000003</v>
      </c>
      <c r="J354">
        <v>11.32128</v>
      </c>
      <c r="K354">
        <v>64</v>
      </c>
      <c r="L354">
        <v>973.3</v>
      </c>
      <c r="M354">
        <v>14194.18689443885</v>
      </c>
      <c r="N354">
        <v>2</v>
      </c>
      <c r="O354">
        <v>973.3</v>
      </c>
    </row>
    <row r="355" spans="1:15" x14ac:dyDescent="0.25">
      <c r="A355">
        <v>110</v>
      </c>
      <c r="B355" t="s">
        <v>7</v>
      </c>
      <c r="C355" s="1">
        <v>25398</v>
      </c>
      <c r="D355" s="1" t="s">
        <v>31</v>
      </c>
      <c r="E355">
        <v>43.769460000000002</v>
      </c>
      <c r="F355">
        <v>11.19172</v>
      </c>
      <c r="G355" s="1">
        <v>25239</v>
      </c>
      <c r="H355" s="1" t="s">
        <v>31</v>
      </c>
      <c r="I355">
        <v>43.77281</v>
      </c>
      <c r="J355">
        <v>11.29452</v>
      </c>
      <c r="K355">
        <v>4</v>
      </c>
      <c r="L355">
        <v>134</v>
      </c>
      <c r="M355">
        <v>2916.6137454326399</v>
      </c>
      <c r="N355">
        <v>1</v>
      </c>
      <c r="O355">
        <v>134</v>
      </c>
    </row>
    <row r="356" spans="1:15" x14ac:dyDescent="0.25">
      <c r="A356">
        <v>110</v>
      </c>
      <c r="B356" t="s">
        <v>7</v>
      </c>
      <c r="C356" s="1">
        <v>25398</v>
      </c>
      <c r="D356" s="1" t="s">
        <v>31</v>
      </c>
      <c r="E356">
        <v>43.769460000000002</v>
      </c>
      <c r="F356">
        <v>11.19172</v>
      </c>
      <c r="G356" s="1">
        <v>25290</v>
      </c>
      <c r="H356" s="1" t="s">
        <v>32</v>
      </c>
      <c r="I356">
        <v>43.81803</v>
      </c>
      <c r="J356">
        <v>11.211550000000001</v>
      </c>
      <c r="K356">
        <v>15</v>
      </c>
      <c r="L356">
        <v>38</v>
      </c>
      <c r="M356">
        <v>4377.3511296034876</v>
      </c>
      <c r="N356">
        <v>1</v>
      </c>
      <c r="O356">
        <v>38</v>
      </c>
    </row>
    <row r="357" spans="1:15" x14ac:dyDescent="0.25">
      <c r="A357">
        <v>110</v>
      </c>
      <c r="B357" t="s">
        <v>7</v>
      </c>
      <c r="C357" s="1">
        <v>25400</v>
      </c>
      <c r="D357" s="1" t="s">
        <v>31</v>
      </c>
      <c r="E357">
        <v>43.798690000000001</v>
      </c>
      <c r="F357">
        <v>11.20762</v>
      </c>
      <c r="G357" s="1">
        <v>25290</v>
      </c>
      <c r="H357" s="1" t="s">
        <v>32</v>
      </c>
      <c r="I357">
        <v>43.81803</v>
      </c>
      <c r="J357">
        <v>11.211550000000001</v>
      </c>
      <c r="K357">
        <v>65</v>
      </c>
      <c r="L357">
        <v>159.91999999999999</v>
      </c>
      <c r="M357">
        <v>2673.5625999799199</v>
      </c>
      <c r="N357">
        <v>2</v>
      </c>
      <c r="O357">
        <v>159.91999999999999</v>
      </c>
    </row>
    <row r="358" spans="1:15" x14ac:dyDescent="0.25">
      <c r="A358">
        <v>110</v>
      </c>
      <c r="B358" t="s">
        <v>7</v>
      </c>
      <c r="C358" s="1">
        <v>25400</v>
      </c>
      <c r="D358" s="1" t="s">
        <v>31</v>
      </c>
      <c r="E358">
        <v>43.798690000000001</v>
      </c>
      <c r="F358">
        <v>11.20762</v>
      </c>
      <c r="G358" s="1">
        <v>25398</v>
      </c>
      <c r="H358" s="1" t="s">
        <v>31</v>
      </c>
      <c r="I358">
        <v>43.769460000000002</v>
      </c>
      <c r="J358">
        <v>11.19172</v>
      </c>
      <c r="K358">
        <v>14</v>
      </c>
      <c r="L358">
        <v>961.4</v>
      </c>
      <c r="M358">
        <v>2989.529089068456</v>
      </c>
      <c r="N358">
        <v>2</v>
      </c>
      <c r="O358">
        <v>961.4</v>
      </c>
    </row>
    <row r="359" spans="1:15" x14ac:dyDescent="0.25">
      <c r="A359">
        <v>110</v>
      </c>
      <c r="B359" t="s">
        <v>7</v>
      </c>
      <c r="C359" s="1">
        <v>25401</v>
      </c>
      <c r="D359" s="1" t="s">
        <v>36</v>
      </c>
      <c r="E359">
        <v>43.87838</v>
      </c>
      <c r="F359">
        <v>11.103210000000001</v>
      </c>
      <c r="G359" s="1">
        <v>25290</v>
      </c>
      <c r="H359" s="1" t="s">
        <v>32</v>
      </c>
      <c r="I359">
        <v>43.81803</v>
      </c>
      <c r="J359">
        <v>11.211550000000001</v>
      </c>
      <c r="K359">
        <v>29</v>
      </c>
      <c r="L359">
        <v>58.8</v>
      </c>
      <c r="M359">
        <v>3767.2927545171601</v>
      </c>
      <c r="N359">
        <v>1</v>
      </c>
      <c r="O359">
        <v>58.8</v>
      </c>
    </row>
    <row r="360" spans="1:15" x14ac:dyDescent="0.25">
      <c r="A360">
        <v>110</v>
      </c>
      <c r="B360" t="s">
        <v>7</v>
      </c>
      <c r="C360" s="1">
        <v>25401</v>
      </c>
      <c r="D360" s="1" t="s">
        <v>36</v>
      </c>
      <c r="E360">
        <v>43.87838</v>
      </c>
      <c r="F360">
        <v>11.103210000000001</v>
      </c>
      <c r="G360" s="1">
        <v>25433</v>
      </c>
      <c r="H360" s="1" t="s">
        <v>44</v>
      </c>
      <c r="I360">
        <v>43.923850000000002</v>
      </c>
      <c r="J360">
        <v>11.03511</v>
      </c>
      <c r="K360">
        <v>18</v>
      </c>
      <c r="L360">
        <v>792</v>
      </c>
      <c r="M360">
        <v>2916.6137454326399</v>
      </c>
      <c r="N360">
        <v>1</v>
      </c>
      <c r="O360">
        <v>792</v>
      </c>
    </row>
    <row r="361" spans="1:15" x14ac:dyDescent="0.25">
      <c r="A361">
        <v>110</v>
      </c>
      <c r="B361" t="s">
        <v>7</v>
      </c>
      <c r="C361" s="1">
        <v>25421</v>
      </c>
      <c r="D361" s="1" t="s">
        <v>41</v>
      </c>
      <c r="E361">
        <v>43.619419999999998</v>
      </c>
      <c r="F361">
        <v>11.47508</v>
      </c>
      <c r="G361" s="1">
        <v>4142</v>
      </c>
      <c r="H361" s="1" t="s">
        <v>42</v>
      </c>
      <c r="I361">
        <v>43.529310000000002</v>
      </c>
      <c r="J361">
        <v>11.56737</v>
      </c>
      <c r="K361">
        <v>14</v>
      </c>
      <c r="L361">
        <v>86.4</v>
      </c>
      <c r="M361">
        <v>3645.7671817907999</v>
      </c>
      <c r="N361">
        <v>1</v>
      </c>
      <c r="O361">
        <v>86.4</v>
      </c>
    </row>
    <row r="362" spans="1:15" x14ac:dyDescent="0.25">
      <c r="A362">
        <v>110</v>
      </c>
      <c r="B362" t="s">
        <v>7</v>
      </c>
      <c r="C362" s="1">
        <v>25421</v>
      </c>
      <c r="D362" s="1" t="s">
        <v>41</v>
      </c>
      <c r="E362">
        <v>43.619419999999998</v>
      </c>
      <c r="F362">
        <v>11.47508</v>
      </c>
      <c r="G362" s="1">
        <v>4144</v>
      </c>
      <c r="H362" s="1" t="s">
        <v>38</v>
      </c>
      <c r="I362">
        <v>43.568049999999999</v>
      </c>
      <c r="J362">
        <v>11.529260000000001</v>
      </c>
      <c r="K362">
        <v>4</v>
      </c>
      <c r="L362">
        <v>190.27484520576289</v>
      </c>
      <c r="M362">
        <v>0</v>
      </c>
      <c r="N362">
        <v>0</v>
      </c>
      <c r="O362">
        <v>0</v>
      </c>
    </row>
    <row r="363" spans="1:15" x14ac:dyDescent="0.25">
      <c r="A363">
        <v>110</v>
      </c>
      <c r="B363" t="s">
        <v>7</v>
      </c>
      <c r="C363" s="1">
        <v>32094</v>
      </c>
      <c r="D363" s="1" t="s">
        <v>54</v>
      </c>
      <c r="E363">
        <v>43.304879999999997</v>
      </c>
      <c r="F363">
        <v>10.5182</v>
      </c>
      <c r="G363" s="1">
        <v>32098</v>
      </c>
      <c r="H363" s="1" t="s">
        <v>50</v>
      </c>
      <c r="I363">
        <v>43.393940000000001</v>
      </c>
      <c r="J363">
        <v>10.43547</v>
      </c>
      <c r="K363">
        <v>6</v>
      </c>
      <c r="L363">
        <v>62.531795018315961</v>
      </c>
      <c r="M363">
        <v>0</v>
      </c>
      <c r="N363">
        <v>0</v>
      </c>
      <c r="O363">
        <v>0</v>
      </c>
    </row>
    <row r="364" spans="1:15" x14ac:dyDescent="0.25">
      <c r="A364">
        <v>110</v>
      </c>
      <c r="B364" t="s">
        <v>7</v>
      </c>
      <c r="C364" s="1">
        <v>33212</v>
      </c>
      <c r="D364" s="1" t="s">
        <v>46</v>
      </c>
      <c r="E364">
        <v>43.844110000000001</v>
      </c>
      <c r="F364">
        <v>10.525460000000001</v>
      </c>
      <c r="G364" s="1">
        <v>77150</v>
      </c>
      <c r="H364" s="1" t="s">
        <v>46</v>
      </c>
      <c r="I364">
        <v>43.860230000000001</v>
      </c>
      <c r="J364">
        <v>10.51596</v>
      </c>
      <c r="K364">
        <v>2</v>
      </c>
      <c r="L364">
        <v>153</v>
      </c>
      <c r="M364">
        <v>1069.4250399919681</v>
      </c>
      <c r="N364">
        <v>1</v>
      </c>
      <c r="O364">
        <v>153</v>
      </c>
    </row>
    <row r="365" spans="1:15" x14ac:dyDescent="0.25">
      <c r="A365">
        <v>110</v>
      </c>
      <c r="B365" t="s">
        <v>7</v>
      </c>
      <c r="C365" s="1">
        <v>33214</v>
      </c>
      <c r="D365" s="1" t="s">
        <v>51</v>
      </c>
      <c r="E365">
        <v>43.868270000000003</v>
      </c>
      <c r="F365">
        <v>10.252879999999999</v>
      </c>
      <c r="G365" s="1">
        <v>33220</v>
      </c>
      <c r="H365" s="1" t="s">
        <v>39</v>
      </c>
      <c r="I365">
        <v>43.894159999999999</v>
      </c>
      <c r="J365">
        <v>10.22714</v>
      </c>
      <c r="K365">
        <v>3</v>
      </c>
      <c r="L365">
        <v>210.7</v>
      </c>
      <c r="M365">
        <v>4642.2768781469513</v>
      </c>
      <c r="N365">
        <v>4</v>
      </c>
      <c r="O365">
        <v>210.7</v>
      </c>
    </row>
    <row r="366" spans="1:15" x14ac:dyDescent="0.25">
      <c r="A366">
        <v>110</v>
      </c>
      <c r="B366" t="s">
        <v>7</v>
      </c>
      <c r="C366" s="1">
        <v>33218</v>
      </c>
      <c r="D366" s="1" t="s">
        <v>52</v>
      </c>
      <c r="E366">
        <v>44.033050000000003</v>
      </c>
      <c r="F366">
        <v>10.50367</v>
      </c>
      <c r="G366" s="1">
        <v>33219</v>
      </c>
      <c r="H366" s="1" t="s">
        <v>47</v>
      </c>
      <c r="I366">
        <v>44.110500000000002</v>
      </c>
      <c r="J366">
        <v>10.41159</v>
      </c>
      <c r="K366">
        <v>24</v>
      </c>
      <c r="L366">
        <v>358.5</v>
      </c>
      <c r="M366">
        <v>4131.8694726962403</v>
      </c>
      <c r="N366">
        <v>1</v>
      </c>
      <c r="O366">
        <v>358.5</v>
      </c>
    </row>
    <row r="367" spans="1:15" x14ac:dyDescent="0.25">
      <c r="A367">
        <v>110</v>
      </c>
      <c r="B367" t="s">
        <v>7</v>
      </c>
      <c r="C367" s="1">
        <v>33220</v>
      </c>
      <c r="D367" s="1" t="s">
        <v>39</v>
      </c>
      <c r="E367">
        <v>43.894159999999999</v>
      </c>
      <c r="F367">
        <v>10.22714</v>
      </c>
      <c r="G367" s="1">
        <v>33221</v>
      </c>
      <c r="H367" s="1" t="s">
        <v>40</v>
      </c>
      <c r="I367">
        <v>43.956339999999997</v>
      </c>
      <c r="J367">
        <v>10.22996</v>
      </c>
      <c r="K367">
        <v>5</v>
      </c>
      <c r="L367">
        <v>168.3</v>
      </c>
      <c r="M367">
        <v>10164.398902832751</v>
      </c>
      <c r="N367">
        <v>4</v>
      </c>
      <c r="O367">
        <v>168.3</v>
      </c>
    </row>
    <row r="368" spans="1:15" x14ac:dyDescent="0.25">
      <c r="A368">
        <v>110</v>
      </c>
      <c r="B368" t="s">
        <v>7</v>
      </c>
      <c r="C368" s="1">
        <v>4144</v>
      </c>
      <c r="D368" s="1" t="s">
        <v>38</v>
      </c>
      <c r="E368">
        <v>43.568049999999999</v>
      </c>
      <c r="F368">
        <v>11.529260000000001</v>
      </c>
      <c r="G368" s="1">
        <v>25421</v>
      </c>
      <c r="H368" s="1" t="s">
        <v>41</v>
      </c>
      <c r="I368">
        <v>43.619419999999998</v>
      </c>
      <c r="J368">
        <v>11.47508</v>
      </c>
      <c r="K368">
        <v>6</v>
      </c>
      <c r="L368">
        <v>82.6</v>
      </c>
      <c r="M368">
        <v>6691.1980343133819</v>
      </c>
      <c r="N368">
        <v>1</v>
      </c>
      <c r="O368">
        <v>82.6</v>
      </c>
    </row>
    <row r="369" spans="1:15" x14ac:dyDescent="0.25">
      <c r="A369">
        <v>110</v>
      </c>
      <c r="B369" t="s">
        <v>7</v>
      </c>
      <c r="C369" s="1">
        <v>4144</v>
      </c>
      <c r="D369" s="1" t="s">
        <v>38</v>
      </c>
      <c r="E369">
        <v>43.568049999999999</v>
      </c>
      <c r="F369">
        <v>11.529260000000001</v>
      </c>
      <c r="G369" s="1">
        <v>4142</v>
      </c>
      <c r="H369" s="1" t="s">
        <v>42</v>
      </c>
      <c r="I369">
        <v>43.529310000000002</v>
      </c>
      <c r="J369">
        <v>11.56737</v>
      </c>
      <c r="K369">
        <v>4</v>
      </c>
      <c r="L369">
        <v>244.6</v>
      </c>
      <c r="M369">
        <v>1458.30687271632</v>
      </c>
      <c r="N369">
        <v>1</v>
      </c>
      <c r="O369">
        <v>244.6</v>
      </c>
    </row>
    <row r="370" spans="1:15" x14ac:dyDescent="0.25">
      <c r="A370">
        <v>110</v>
      </c>
      <c r="B370" t="s">
        <v>7</v>
      </c>
      <c r="C370" s="1">
        <v>46445</v>
      </c>
      <c r="D370" s="1" t="s">
        <v>35</v>
      </c>
      <c r="E370">
        <v>43.10801</v>
      </c>
      <c r="F370">
        <v>12.377940000000001</v>
      </c>
      <c r="G370" s="1">
        <v>46468</v>
      </c>
      <c r="H370" s="1" t="s">
        <v>33</v>
      </c>
      <c r="I370">
        <v>43.116489999999999</v>
      </c>
      <c r="J370">
        <v>12.45126</v>
      </c>
      <c r="K370">
        <v>7</v>
      </c>
      <c r="L370">
        <v>369.4</v>
      </c>
      <c r="M370">
        <v>9381.7742144749918</v>
      </c>
      <c r="N370">
        <v>3</v>
      </c>
      <c r="O370">
        <v>369.4</v>
      </c>
    </row>
    <row r="371" spans="1:15" x14ac:dyDescent="0.25">
      <c r="A371">
        <v>110</v>
      </c>
      <c r="B371" t="s">
        <v>7</v>
      </c>
      <c r="C371" s="1">
        <v>46445</v>
      </c>
      <c r="D371" s="1" t="s">
        <v>35</v>
      </c>
      <c r="E371">
        <v>43.10801</v>
      </c>
      <c r="F371">
        <v>12.377940000000001</v>
      </c>
      <c r="G371" s="1">
        <v>46471</v>
      </c>
      <c r="H371" s="1" t="s">
        <v>34</v>
      </c>
      <c r="I371">
        <v>43.10031</v>
      </c>
      <c r="J371">
        <v>12.318519999999999</v>
      </c>
      <c r="K371">
        <v>11</v>
      </c>
      <c r="L371">
        <v>377</v>
      </c>
      <c r="M371">
        <v>5420.0405435956563</v>
      </c>
      <c r="N371">
        <v>3</v>
      </c>
      <c r="O371">
        <v>377</v>
      </c>
    </row>
    <row r="372" spans="1:15" x14ac:dyDescent="0.25">
      <c r="A372">
        <v>110</v>
      </c>
      <c r="B372" t="s">
        <v>7</v>
      </c>
      <c r="C372" s="1">
        <v>46471</v>
      </c>
      <c r="D372" s="1" t="s">
        <v>34</v>
      </c>
      <c r="E372">
        <v>43.10031</v>
      </c>
      <c r="F372">
        <v>12.318519999999999</v>
      </c>
      <c r="G372" s="1">
        <v>46445</v>
      </c>
      <c r="H372" s="1" t="s">
        <v>35</v>
      </c>
      <c r="I372">
        <v>43.10801</v>
      </c>
      <c r="J372">
        <v>12.377940000000001</v>
      </c>
      <c r="K372">
        <v>11</v>
      </c>
      <c r="L372">
        <v>678.88</v>
      </c>
      <c r="M372">
        <v>1701.35801816904</v>
      </c>
      <c r="N372">
        <v>1</v>
      </c>
      <c r="O372">
        <v>678.88</v>
      </c>
    </row>
    <row r="373" spans="1:15" x14ac:dyDescent="0.25">
      <c r="A373">
        <v>110</v>
      </c>
      <c r="B373" t="s">
        <v>7</v>
      </c>
      <c r="C373" s="1">
        <v>59131</v>
      </c>
      <c r="D373" s="1" t="s">
        <v>45</v>
      </c>
      <c r="E373">
        <v>43.331879999999998</v>
      </c>
      <c r="F373">
        <v>11.32122</v>
      </c>
      <c r="G373" s="1">
        <v>59157</v>
      </c>
      <c r="H373" s="1" t="s">
        <v>45</v>
      </c>
      <c r="I373">
        <v>43.29034</v>
      </c>
      <c r="J373">
        <v>11.33822</v>
      </c>
      <c r="K373">
        <v>20</v>
      </c>
      <c r="L373">
        <v>1303.42</v>
      </c>
      <c r="M373">
        <v>4.8610229090543999</v>
      </c>
      <c r="N373">
        <v>2</v>
      </c>
      <c r="O373">
        <v>1303.42</v>
      </c>
    </row>
    <row r="374" spans="1:15" x14ac:dyDescent="0.25">
      <c r="A374">
        <v>110</v>
      </c>
      <c r="B374" t="s">
        <v>7</v>
      </c>
      <c r="C374" s="1">
        <v>59157</v>
      </c>
      <c r="D374" s="1" t="s">
        <v>45</v>
      </c>
      <c r="E374">
        <v>43.29034</v>
      </c>
      <c r="F374">
        <v>11.33822</v>
      </c>
      <c r="G374" s="1">
        <v>59131</v>
      </c>
      <c r="H374" s="1" t="s">
        <v>45</v>
      </c>
      <c r="I374">
        <v>43.331879999999998</v>
      </c>
      <c r="J374">
        <v>11.32122</v>
      </c>
      <c r="K374">
        <v>7</v>
      </c>
      <c r="L374">
        <v>408.4</v>
      </c>
      <c r="M374">
        <v>2187.4603090744799</v>
      </c>
      <c r="N374">
        <v>1</v>
      </c>
      <c r="O374">
        <v>408.4</v>
      </c>
    </row>
    <row r="375" spans="1:15" x14ac:dyDescent="0.25">
      <c r="A375">
        <v>110</v>
      </c>
      <c r="B375" t="s">
        <v>7</v>
      </c>
      <c r="C375" s="1">
        <v>77343</v>
      </c>
      <c r="D375" s="1" t="s">
        <v>43</v>
      </c>
      <c r="E375">
        <v>42.812559999999998</v>
      </c>
      <c r="F375">
        <v>10.31758</v>
      </c>
      <c r="G375" s="1">
        <v>32095</v>
      </c>
      <c r="H375" s="1" t="s">
        <v>43</v>
      </c>
      <c r="I375">
        <v>42.810519999999997</v>
      </c>
      <c r="J375">
        <v>10.30799</v>
      </c>
      <c r="K375">
        <v>3</v>
      </c>
      <c r="L375">
        <v>273.7</v>
      </c>
      <c r="M375">
        <v>291.661374543264</v>
      </c>
      <c r="N375">
        <v>1</v>
      </c>
      <c r="O375">
        <v>273.7</v>
      </c>
    </row>
    <row r="376" spans="1:15" x14ac:dyDescent="0.25">
      <c r="A376">
        <v>110</v>
      </c>
      <c r="B376" t="s">
        <v>7</v>
      </c>
      <c r="C376" s="1">
        <v>85210</v>
      </c>
      <c r="D376" s="1" t="s">
        <v>49</v>
      </c>
      <c r="E376">
        <v>43.928640000000001</v>
      </c>
      <c r="F376">
        <v>10.9284</v>
      </c>
      <c r="G376" s="1">
        <v>77334</v>
      </c>
      <c r="H376" s="1" t="s">
        <v>49</v>
      </c>
      <c r="I376">
        <v>43.939680000000003</v>
      </c>
      <c r="J376">
        <v>10.943490000000001</v>
      </c>
      <c r="K376">
        <v>1</v>
      </c>
      <c r="L376">
        <v>37</v>
      </c>
      <c r="M376">
        <v>850.67900908451998</v>
      </c>
      <c r="N376">
        <v>1</v>
      </c>
      <c r="O376">
        <v>37</v>
      </c>
    </row>
    <row r="377" spans="1:15" x14ac:dyDescent="0.25">
      <c r="A377">
        <v>110</v>
      </c>
      <c r="B377" t="s">
        <v>7</v>
      </c>
      <c r="C377" s="1">
        <v>92197</v>
      </c>
      <c r="D377" s="1" t="s">
        <v>53</v>
      </c>
      <c r="E377">
        <v>42.570590000000003</v>
      </c>
      <c r="F377">
        <v>12.632300000000001</v>
      </c>
      <c r="G377" s="1">
        <v>92198</v>
      </c>
      <c r="H377" s="1" t="s">
        <v>48</v>
      </c>
      <c r="I377">
        <v>42.529159999999997</v>
      </c>
      <c r="J377">
        <v>12.51361</v>
      </c>
      <c r="K377">
        <v>25</v>
      </c>
      <c r="L377">
        <v>475</v>
      </c>
      <c r="M377">
        <v>7218.6190199457833</v>
      </c>
      <c r="N377">
        <v>2</v>
      </c>
      <c r="O377">
        <v>475</v>
      </c>
    </row>
    <row r="378" spans="1:15" x14ac:dyDescent="0.25">
      <c r="A378">
        <v>110</v>
      </c>
      <c r="B378" t="s">
        <v>8</v>
      </c>
      <c r="C378" s="1">
        <v>25290</v>
      </c>
      <c r="D378" s="1" t="s">
        <v>32</v>
      </c>
      <c r="E378">
        <v>43.81803</v>
      </c>
      <c r="F378">
        <v>11.211550000000001</v>
      </c>
      <c r="G378" s="1">
        <v>25239</v>
      </c>
      <c r="H378" s="1" t="s">
        <v>31</v>
      </c>
      <c r="I378">
        <v>43.77281</v>
      </c>
      <c r="J378">
        <v>11.29452</v>
      </c>
      <c r="K378">
        <v>130</v>
      </c>
      <c r="L378">
        <v>4987.1000000000004</v>
      </c>
      <c r="M378">
        <v>18228.835908953999</v>
      </c>
      <c r="N378">
        <v>5</v>
      </c>
      <c r="O378">
        <v>4987.1000000000004</v>
      </c>
    </row>
    <row r="379" spans="1:15" x14ac:dyDescent="0.25">
      <c r="A379">
        <v>110</v>
      </c>
      <c r="B379" t="s">
        <v>8</v>
      </c>
      <c r="C379" s="1">
        <v>25290</v>
      </c>
      <c r="D379" s="1" t="s">
        <v>32</v>
      </c>
      <c r="E379">
        <v>43.81803</v>
      </c>
      <c r="F379">
        <v>11.211550000000001</v>
      </c>
      <c r="G379" s="1">
        <v>25398</v>
      </c>
      <c r="H379" s="1" t="s">
        <v>31</v>
      </c>
      <c r="I379">
        <v>43.769460000000002</v>
      </c>
      <c r="J379">
        <v>11.19172</v>
      </c>
      <c r="K379">
        <v>35</v>
      </c>
      <c r="L379">
        <v>2019.72</v>
      </c>
      <c r="M379">
        <v>11182.78320227965</v>
      </c>
      <c r="N379">
        <v>4</v>
      </c>
      <c r="O379">
        <v>2019.72</v>
      </c>
    </row>
    <row r="380" spans="1:15" x14ac:dyDescent="0.25">
      <c r="A380">
        <v>110</v>
      </c>
      <c r="B380" t="s">
        <v>8</v>
      </c>
      <c r="C380" s="1">
        <v>25290</v>
      </c>
      <c r="D380" s="1" t="s">
        <v>32</v>
      </c>
      <c r="E380">
        <v>43.81803</v>
      </c>
      <c r="F380">
        <v>11.211550000000001</v>
      </c>
      <c r="G380" s="1">
        <v>25400</v>
      </c>
      <c r="H380" s="1" t="s">
        <v>31</v>
      </c>
      <c r="I380">
        <v>43.798690000000001</v>
      </c>
      <c r="J380">
        <v>11.20762</v>
      </c>
      <c r="K380">
        <v>73</v>
      </c>
      <c r="L380">
        <v>6189.96</v>
      </c>
      <c r="M380">
        <v>10086.622536287879</v>
      </c>
      <c r="N380">
        <v>7</v>
      </c>
      <c r="O380">
        <v>6189.96</v>
      </c>
    </row>
    <row r="381" spans="1:15" x14ac:dyDescent="0.25">
      <c r="A381">
        <v>110</v>
      </c>
      <c r="B381" t="s">
        <v>8</v>
      </c>
      <c r="C381" s="1">
        <v>25290</v>
      </c>
      <c r="D381" s="1" t="s">
        <v>32</v>
      </c>
      <c r="E381">
        <v>43.81803</v>
      </c>
      <c r="F381">
        <v>11.211550000000001</v>
      </c>
      <c r="G381" s="1">
        <v>25401</v>
      </c>
      <c r="H381" s="1" t="s">
        <v>36</v>
      </c>
      <c r="I381">
        <v>43.87838</v>
      </c>
      <c r="J381">
        <v>11.103210000000001</v>
      </c>
      <c r="K381">
        <v>155</v>
      </c>
      <c r="L381">
        <v>2791.3</v>
      </c>
      <c r="M381">
        <v>18690.63308531417</v>
      </c>
      <c r="N381">
        <v>5</v>
      </c>
      <c r="O381">
        <v>2791.3</v>
      </c>
    </row>
    <row r="382" spans="1:15" x14ac:dyDescent="0.25">
      <c r="A382">
        <v>110</v>
      </c>
      <c r="B382" t="s">
        <v>8</v>
      </c>
      <c r="C382" s="1">
        <v>25290</v>
      </c>
      <c r="D382" s="1" t="s">
        <v>32</v>
      </c>
      <c r="E382">
        <v>43.81803</v>
      </c>
      <c r="F382">
        <v>11.211550000000001</v>
      </c>
      <c r="G382" s="1">
        <v>25417</v>
      </c>
      <c r="H382" s="1" t="s">
        <v>37</v>
      </c>
      <c r="I382">
        <v>43.754040000000003</v>
      </c>
      <c r="J382">
        <v>11.32128</v>
      </c>
      <c r="K382">
        <v>64</v>
      </c>
      <c r="L382">
        <v>973.3</v>
      </c>
      <c r="M382">
        <v>14194.18689443885</v>
      </c>
      <c r="N382">
        <v>2</v>
      </c>
      <c r="O382">
        <v>973.3</v>
      </c>
    </row>
    <row r="383" spans="1:15" x14ac:dyDescent="0.25">
      <c r="A383">
        <v>110</v>
      </c>
      <c r="B383" t="s">
        <v>8</v>
      </c>
      <c r="C383" s="1">
        <v>25398</v>
      </c>
      <c r="D383" s="1" t="s">
        <v>31</v>
      </c>
      <c r="E383">
        <v>43.769460000000002</v>
      </c>
      <c r="F383">
        <v>11.19172</v>
      </c>
      <c r="G383" s="1">
        <v>25239</v>
      </c>
      <c r="H383" s="1" t="s">
        <v>31</v>
      </c>
      <c r="I383">
        <v>43.77281</v>
      </c>
      <c r="J383">
        <v>11.29452</v>
      </c>
      <c r="K383">
        <v>4</v>
      </c>
      <c r="L383">
        <v>134</v>
      </c>
      <c r="M383">
        <v>2916.6137454326399</v>
      </c>
      <c r="N383">
        <v>1</v>
      </c>
      <c r="O383">
        <v>134</v>
      </c>
    </row>
    <row r="384" spans="1:15" x14ac:dyDescent="0.25">
      <c r="A384">
        <v>110</v>
      </c>
      <c r="B384" t="s">
        <v>8</v>
      </c>
      <c r="C384" s="1">
        <v>25398</v>
      </c>
      <c r="D384" s="1" t="s">
        <v>31</v>
      </c>
      <c r="E384">
        <v>43.769460000000002</v>
      </c>
      <c r="F384">
        <v>11.19172</v>
      </c>
      <c r="G384" s="1">
        <v>25290</v>
      </c>
      <c r="H384" s="1" t="s">
        <v>32</v>
      </c>
      <c r="I384">
        <v>43.81803</v>
      </c>
      <c r="J384">
        <v>11.211550000000001</v>
      </c>
      <c r="K384">
        <v>36</v>
      </c>
      <c r="L384">
        <v>38</v>
      </c>
      <c r="M384">
        <v>4377.3511296034876</v>
      </c>
      <c r="N384">
        <v>1</v>
      </c>
      <c r="O384">
        <v>38</v>
      </c>
    </row>
    <row r="385" spans="1:15" x14ac:dyDescent="0.25">
      <c r="A385">
        <v>110</v>
      </c>
      <c r="B385" t="s">
        <v>8</v>
      </c>
      <c r="C385" s="1">
        <v>25400</v>
      </c>
      <c r="D385" s="1" t="s">
        <v>31</v>
      </c>
      <c r="E385">
        <v>43.798690000000001</v>
      </c>
      <c r="F385">
        <v>11.20762</v>
      </c>
      <c r="G385" s="1">
        <v>25290</v>
      </c>
      <c r="H385" s="1" t="s">
        <v>32</v>
      </c>
      <c r="I385">
        <v>43.81803</v>
      </c>
      <c r="J385">
        <v>11.211550000000001</v>
      </c>
      <c r="K385">
        <v>67</v>
      </c>
      <c r="L385">
        <v>159.91999999999999</v>
      </c>
      <c r="M385">
        <v>2673.5625999799199</v>
      </c>
      <c r="N385">
        <v>2</v>
      </c>
      <c r="O385">
        <v>159.91999999999999</v>
      </c>
    </row>
    <row r="386" spans="1:15" x14ac:dyDescent="0.25">
      <c r="A386">
        <v>110</v>
      </c>
      <c r="B386" t="s">
        <v>8</v>
      </c>
      <c r="C386" s="1">
        <v>25400</v>
      </c>
      <c r="D386" s="1" t="s">
        <v>31</v>
      </c>
      <c r="E386">
        <v>43.798690000000001</v>
      </c>
      <c r="F386">
        <v>11.20762</v>
      </c>
      <c r="G386" s="1">
        <v>25398</v>
      </c>
      <c r="H386" s="1" t="s">
        <v>31</v>
      </c>
      <c r="I386">
        <v>43.769460000000002</v>
      </c>
      <c r="J386">
        <v>11.19172</v>
      </c>
      <c r="K386">
        <v>13</v>
      </c>
      <c r="L386">
        <v>961.4</v>
      </c>
      <c r="M386">
        <v>2989.529089068456</v>
      </c>
      <c r="N386">
        <v>2</v>
      </c>
      <c r="O386">
        <v>961.4</v>
      </c>
    </row>
    <row r="387" spans="1:15" x14ac:dyDescent="0.25">
      <c r="A387">
        <v>110</v>
      </c>
      <c r="B387" t="s">
        <v>8</v>
      </c>
      <c r="C387" s="1">
        <v>25401</v>
      </c>
      <c r="D387" s="1" t="s">
        <v>36</v>
      </c>
      <c r="E387">
        <v>43.87838</v>
      </c>
      <c r="F387">
        <v>11.103210000000001</v>
      </c>
      <c r="G387" s="1">
        <v>25290</v>
      </c>
      <c r="H387" s="1" t="s">
        <v>32</v>
      </c>
      <c r="I387">
        <v>43.81803</v>
      </c>
      <c r="J387">
        <v>11.211550000000001</v>
      </c>
      <c r="K387">
        <v>18</v>
      </c>
      <c r="L387">
        <v>58.8</v>
      </c>
      <c r="M387">
        <v>3767.2927545171601</v>
      </c>
      <c r="N387">
        <v>1</v>
      </c>
      <c r="O387">
        <v>58.8</v>
      </c>
    </row>
    <row r="388" spans="1:15" x14ac:dyDescent="0.25">
      <c r="A388">
        <v>110</v>
      </c>
      <c r="B388" t="s">
        <v>8</v>
      </c>
      <c r="C388" s="1">
        <v>25401</v>
      </c>
      <c r="D388" s="1" t="s">
        <v>36</v>
      </c>
      <c r="E388">
        <v>43.87838</v>
      </c>
      <c r="F388">
        <v>11.103210000000001</v>
      </c>
      <c r="G388" s="1">
        <v>25433</v>
      </c>
      <c r="H388" s="1" t="s">
        <v>44</v>
      </c>
      <c r="I388">
        <v>43.923850000000002</v>
      </c>
      <c r="J388">
        <v>11.03511</v>
      </c>
      <c r="K388">
        <v>18</v>
      </c>
      <c r="L388">
        <v>792</v>
      </c>
      <c r="M388">
        <v>2916.6137454326399</v>
      </c>
      <c r="N388">
        <v>1</v>
      </c>
      <c r="O388">
        <v>792</v>
      </c>
    </row>
    <row r="389" spans="1:15" x14ac:dyDescent="0.25">
      <c r="A389">
        <v>110</v>
      </c>
      <c r="B389" t="s">
        <v>8</v>
      </c>
      <c r="C389" s="1">
        <v>25421</v>
      </c>
      <c r="D389" s="1" t="s">
        <v>41</v>
      </c>
      <c r="E389">
        <v>43.619419999999998</v>
      </c>
      <c r="F389">
        <v>11.47508</v>
      </c>
      <c r="G389" s="1">
        <v>4142</v>
      </c>
      <c r="H389" s="1" t="s">
        <v>42</v>
      </c>
      <c r="I389">
        <v>43.529310000000002</v>
      </c>
      <c r="J389">
        <v>11.56737</v>
      </c>
      <c r="K389">
        <v>14</v>
      </c>
      <c r="L389">
        <v>86.4</v>
      </c>
      <c r="M389">
        <v>3645.7671817907999</v>
      </c>
      <c r="N389">
        <v>1</v>
      </c>
      <c r="O389">
        <v>86.4</v>
      </c>
    </row>
    <row r="390" spans="1:15" x14ac:dyDescent="0.25">
      <c r="A390">
        <v>110</v>
      </c>
      <c r="B390" t="s">
        <v>8</v>
      </c>
      <c r="C390" s="1">
        <v>25421</v>
      </c>
      <c r="D390" s="1" t="s">
        <v>41</v>
      </c>
      <c r="E390">
        <v>43.619419999999998</v>
      </c>
      <c r="F390">
        <v>11.47508</v>
      </c>
      <c r="G390" s="1">
        <v>4144</v>
      </c>
      <c r="H390" s="1" t="s">
        <v>38</v>
      </c>
      <c r="I390">
        <v>43.568049999999999</v>
      </c>
      <c r="J390">
        <v>11.529260000000001</v>
      </c>
      <c r="K390">
        <v>5</v>
      </c>
      <c r="L390">
        <v>194.4</v>
      </c>
      <c r="M390">
        <v>2187.4603090744799</v>
      </c>
      <c r="N390">
        <v>1</v>
      </c>
      <c r="O390">
        <v>194.4</v>
      </c>
    </row>
    <row r="391" spans="1:15" x14ac:dyDescent="0.25">
      <c r="A391">
        <v>110</v>
      </c>
      <c r="B391" t="s">
        <v>8</v>
      </c>
      <c r="C391" s="1">
        <v>32094</v>
      </c>
      <c r="D391" s="1" t="s">
        <v>54</v>
      </c>
      <c r="E391">
        <v>43.304879999999997</v>
      </c>
      <c r="F391">
        <v>10.5182</v>
      </c>
      <c r="G391" s="1">
        <v>32098</v>
      </c>
      <c r="H391" s="1" t="s">
        <v>50</v>
      </c>
      <c r="I391">
        <v>43.393940000000001</v>
      </c>
      <c r="J391">
        <v>10.43547</v>
      </c>
      <c r="K391">
        <v>7</v>
      </c>
      <c r="L391">
        <v>70.8</v>
      </c>
      <c r="M391">
        <v>2189.8908205290072</v>
      </c>
      <c r="N391">
        <v>1</v>
      </c>
      <c r="O391">
        <v>70.8</v>
      </c>
    </row>
    <row r="392" spans="1:15" x14ac:dyDescent="0.25">
      <c r="A392">
        <v>110</v>
      </c>
      <c r="B392" t="s">
        <v>8</v>
      </c>
      <c r="C392" s="1">
        <v>33212</v>
      </c>
      <c r="D392" s="1" t="s">
        <v>46</v>
      </c>
      <c r="E392">
        <v>43.844110000000001</v>
      </c>
      <c r="F392">
        <v>10.525460000000001</v>
      </c>
      <c r="G392" s="1">
        <v>77150</v>
      </c>
      <c r="H392" s="1" t="s">
        <v>46</v>
      </c>
      <c r="I392">
        <v>43.860230000000001</v>
      </c>
      <c r="J392">
        <v>10.51596</v>
      </c>
      <c r="K392">
        <v>2</v>
      </c>
      <c r="L392">
        <v>153</v>
      </c>
      <c r="M392">
        <v>1069.4250399919681</v>
      </c>
      <c r="N392">
        <v>1</v>
      </c>
      <c r="O392">
        <v>153</v>
      </c>
    </row>
    <row r="393" spans="1:15" x14ac:dyDescent="0.25">
      <c r="A393">
        <v>110</v>
      </c>
      <c r="B393" t="s">
        <v>8</v>
      </c>
      <c r="C393" s="1">
        <v>33214</v>
      </c>
      <c r="D393" s="1" t="s">
        <v>51</v>
      </c>
      <c r="E393">
        <v>43.868270000000003</v>
      </c>
      <c r="F393">
        <v>10.252879999999999</v>
      </c>
      <c r="G393" s="1">
        <v>33220</v>
      </c>
      <c r="H393" s="1" t="s">
        <v>39</v>
      </c>
      <c r="I393">
        <v>43.894159999999999</v>
      </c>
      <c r="J393">
        <v>10.22714</v>
      </c>
      <c r="K393">
        <v>3</v>
      </c>
      <c r="L393">
        <v>210.7</v>
      </c>
      <c r="M393">
        <v>4642.2768781469513</v>
      </c>
      <c r="N393">
        <v>4</v>
      </c>
      <c r="O393">
        <v>210.7</v>
      </c>
    </row>
    <row r="394" spans="1:15" x14ac:dyDescent="0.25">
      <c r="A394">
        <v>110</v>
      </c>
      <c r="B394" t="s">
        <v>8</v>
      </c>
      <c r="C394" s="1">
        <v>33218</v>
      </c>
      <c r="D394" s="1" t="s">
        <v>52</v>
      </c>
      <c r="E394">
        <v>44.033050000000003</v>
      </c>
      <c r="F394">
        <v>10.50367</v>
      </c>
      <c r="G394" s="1">
        <v>33219</v>
      </c>
      <c r="H394" s="1" t="s">
        <v>47</v>
      </c>
      <c r="I394">
        <v>44.110500000000002</v>
      </c>
      <c r="J394">
        <v>10.41159</v>
      </c>
      <c r="K394">
        <v>24</v>
      </c>
      <c r="L394">
        <v>358.5</v>
      </c>
      <c r="M394">
        <v>4131.8694726962403</v>
      </c>
      <c r="N394">
        <v>1</v>
      </c>
      <c r="O394">
        <v>358.5</v>
      </c>
    </row>
    <row r="395" spans="1:15" x14ac:dyDescent="0.25">
      <c r="A395">
        <v>110</v>
      </c>
      <c r="B395" t="s">
        <v>8</v>
      </c>
      <c r="C395" s="1">
        <v>33220</v>
      </c>
      <c r="D395" s="1" t="s">
        <v>39</v>
      </c>
      <c r="E395">
        <v>43.894159999999999</v>
      </c>
      <c r="F395">
        <v>10.22714</v>
      </c>
      <c r="G395" s="1">
        <v>33221</v>
      </c>
      <c r="H395" s="1" t="s">
        <v>40</v>
      </c>
      <c r="I395">
        <v>43.956339999999997</v>
      </c>
      <c r="J395">
        <v>10.22996</v>
      </c>
      <c r="K395">
        <v>5</v>
      </c>
      <c r="L395">
        <v>168.3</v>
      </c>
      <c r="M395">
        <v>10164.398902832751</v>
      </c>
      <c r="N395">
        <v>4</v>
      </c>
      <c r="O395">
        <v>168.3</v>
      </c>
    </row>
    <row r="396" spans="1:15" x14ac:dyDescent="0.25">
      <c r="A396">
        <v>110</v>
      </c>
      <c r="B396" t="s">
        <v>8</v>
      </c>
      <c r="C396" s="1">
        <v>4144</v>
      </c>
      <c r="D396" s="1" t="s">
        <v>38</v>
      </c>
      <c r="E396">
        <v>43.568049999999999</v>
      </c>
      <c r="F396">
        <v>11.529260000000001</v>
      </c>
      <c r="G396" s="1">
        <v>25421</v>
      </c>
      <c r="H396" s="1" t="s">
        <v>41</v>
      </c>
      <c r="I396">
        <v>43.619419999999998</v>
      </c>
      <c r="J396">
        <v>11.47508</v>
      </c>
      <c r="K396">
        <v>2</v>
      </c>
      <c r="L396">
        <v>82.6</v>
      </c>
      <c r="M396">
        <v>6691.1980343133819</v>
      </c>
      <c r="N396">
        <v>1</v>
      </c>
      <c r="O396">
        <v>82.6</v>
      </c>
    </row>
    <row r="397" spans="1:15" x14ac:dyDescent="0.25">
      <c r="A397">
        <v>110</v>
      </c>
      <c r="B397" t="s">
        <v>8</v>
      </c>
      <c r="C397" s="1">
        <v>4144</v>
      </c>
      <c r="D397" s="1" t="s">
        <v>38</v>
      </c>
      <c r="E397">
        <v>43.568049999999999</v>
      </c>
      <c r="F397">
        <v>11.529260000000001</v>
      </c>
      <c r="G397" s="1">
        <v>4142</v>
      </c>
      <c r="H397" s="1" t="s">
        <v>42</v>
      </c>
      <c r="I397">
        <v>43.529310000000002</v>
      </c>
      <c r="J397">
        <v>11.56737</v>
      </c>
      <c r="K397">
        <v>4</v>
      </c>
      <c r="L397">
        <v>244.6</v>
      </c>
      <c r="M397">
        <v>1458.30687271632</v>
      </c>
      <c r="N397">
        <v>1</v>
      </c>
      <c r="O397">
        <v>244.6</v>
      </c>
    </row>
    <row r="398" spans="1:15" x14ac:dyDescent="0.25">
      <c r="A398">
        <v>110</v>
      </c>
      <c r="B398" t="s">
        <v>8</v>
      </c>
      <c r="C398" s="1">
        <v>46445</v>
      </c>
      <c r="D398" s="1" t="s">
        <v>35</v>
      </c>
      <c r="E398">
        <v>43.10801</v>
      </c>
      <c r="F398">
        <v>12.377940000000001</v>
      </c>
      <c r="G398" s="1">
        <v>46468</v>
      </c>
      <c r="H398" s="1" t="s">
        <v>33</v>
      </c>
      <c r="I398">
        <v>43.116489999999999</v>
      </c>
      <c r="J398">
        <v>12.45126</v>
      </c>
      <c r="K398">
        <v>7</v>
      </c>
      <c r="L398">
        <v>369.4</v>
      </c>
      <c r="M398">
        <v>9381.7742144749918</v>
      </c>
      <c r="N398">
        <v>3</v>
      </c>
      <c r="O398">
        <v>369.4</v>
      </c>
    </row>
    <row r="399" spans="1:15" x14ac:dyDescent="0.25">
      <c r="A399">
        <v>110</v>
      </c>
      <c r="B399" t="s">
        <v>8</v>
      </c>
      <c r="C399" s="1">
        <v>46445</v>
      </c>
      <c r="D399" s="1" t="s">
        <v>35</v>
      </c>
      <c r="E399">
        <v>43.10801</v>
      </c>
      <c r="F399">
        <v>12.377940000000001</v>
      </c>
      <c r="G399" s="1">
        <v>46471</v>
      </c>
      <c r="H399" s="1" t="s">
        <v>34</v>
      </c>
      <c r="I399">
        <v>43.10031</v>
      </c>
      <c r="J399">
        <v>12.318519999999999</v>
      </c>
      <c r="K399">
        <v>11</v>
      </c>
      <c r="L399">
        <v>377</v>
      </c>
      <c r="M399">
        <v>5420.0405435956563</v>
      </c>
      <c r="N399">
        <v>3</v>
      </c>
      <c r="O399">
        <v>377</v>
      </c>
    </row>
    <row r="400" spans="1:15" x14ac:dyDescent="0.25">
      <c r="A400">
        <v>110</v>
      </c>
      <c r="B400" t="s">
        <v>8</v>
      </c>
      <c r="C400" s="1">
        <v>46471</v>
      </c>
      <c r="D400" s="1" t="s">
        <v>34</v>
      </c>
      <c r="E400">
        <v>43.10031</v>
      </c>
      <c r="F400">
        <v>12.318519999999999</v>
      </c>
      <c r="G400" s="1">
        <v>46445</v>
      </c>
      <c r="H400" s="1" t="s">
        <v>35</v>
      </c>
      <c r="I400">
        <v>43.10801</v>
      </c>
      <c r="J400">
        <v>12.377940000000001</v>
      </c>
      <c r="K400">
        <v>11</v>
      </c>
      <c r="L400">
        <v>678.88</v>
      </c>
      <c r="M400">
        <v>1701.35801816904</v>
      </c>
      <c r="N400">
        <v>1</v>
      </c>
      <c r="O400">
        <v>678.88</v>
      </c>
    </row>
    <row r="401" spans="1:15" x14ac:dyDescent="0.25">
      <c r="A401">
        <v>110</v>
      </c>
      <c r="B401" t="s">
        <v>8</v>
      </c>
      <c r="C401" s="1">
        <v>59131</v>
      </c>
      <c r="D401" s="1" t="s">
        <v>45</v>
      </c>
      <c r="E401">
        <v>43.331879999999998</v>
      </c>
      <c r="F401">
        <v>11.32122</v>
      </c>
      <c r="G401" s="1">
        <v>59157</v>
      </c>
      <c r="H401" s="1" t="s">
        <v>45</v>
      </c>
      <c r="I401">
        <v>43.29034</v>
      </c>
      <c r="J401">
        <v>11.33822</v>
      </c>
      <c r="K401">
        <v>20</v>
      </c>
      <c r="L401">
        <v>1303.42</v>
      </c>
      <c r="M401">
        <v>4.8610229090543999</v>
      </c>
      <c r="N401">
        <v>2</v>
      </c>
      <c r="O401">
        <v>1303.42</v>
      </c>
    </row>
    <row r="402" spans="1:15" x14ac:dyDescent="0.25">
      <c r="A402">
        <v>110</v>
      </c>
      <c r="B402" t="s">
        <v>8</v>
      </c>
      <c r="C402" s="1">
        <v>59157</v>
      </c>
      <c r="D402" s="1" t="s">
        <v>45</v>
      </c>
      <c r="E402">
        <v>43.29034</v>
      </c>
      <c r="F402">
        <v>11.33822</v>
      </c>
      <c r="G402" s="1">
        <v>59131</v>
      </c>
      <c r="H402" s="1" t="s">
        <v>45</v>
      </c>
      <c r="I402">
        <v>43.331879999999998</v>
      </c>
      <c r="J402">
        <v>11.32122</v>
      </c>
      <c r="K402">
        <v>7</v>
      </c>
      <c r="L402">
        <v>408.4</v>
      </c>
      <c r="M402">
        <v>2187.4603090744799</v>
      </c>
      <c r="N402">
        <v>1</v>
      </c>
      <c r="O402">
        <v>408.4</v>
      </c>
    </row>
    <row r="403" spans="1:15" x14ac:dyDescent="0.25">
      <c r="A403">
        <v>110</v>
      </c>
      <c r="B403" t="s">
        <v>8</v>
      </c>
      <c r="C403" s="1">
        <v>77343</v>
      </c>
      <c r="D403" s="1" t="s">
        <v>43</v>
      </c>
      <c r="E403">
        <v>42.812559999999998</v>
      </c>
      <c r="F403">
        <v>10.31758</v>
      </c>
      <c r="G403" s="1">
        <v>32095</v>
      </c>
      <c r="H403" s="1" t="s">
        <v>43</v>
      </c>
      <c r="I403">
        <v>42.810519999999997</v>
      </c>
      <c r="J403">
        <v>10.30799</v>
      </c>
      <c r="K403">
        <v>3</v>
      </c>
      <c r="L403">
        <v>273.7</v>
      </c>
      <c r="M403">
        <v>291.661374543264</v>
      </c>
      <c r="N403">
        <v>1</v>
      </c>
      <c r="O403">
        <v>273.7</v>
      </c>
    </row>
    <row r="404" spans="1:15" x14ac:dyDescent="0.25">
      <c r="A404">
        <v>110</v>
      </c>
      <c r="B404" t="s">
        <v>8</v>
      </c>
      <c r="C404" s="1">
        <v>85210</v>
      </c>
      <c r="D404" s="1" t="s">
        <v>49</v>
      </c>
      <c r="E404">
        <v>43.928640000000001</v>
      </c>
      <c r="F404">
        <v>10.9284</v>
      </c>
      <c r="G404" s="1">
        <v>77334</v>
      </c>
      <c r="H404" s="1" t="s">
        <v>49</v>
      </c>
      <c r="I404">
        <v>43.939680000000003</v>
      </c>
      <c r="J404">
        <v>10.943490000000001</v>
      </c>
      <c r="K404">
        <v>1</v>
      </c>
      <c r="L404">
        <v>37</v>
      </c>
      <c r="M404">
        <v>850.67900908451998</v>
      </c>
      <c r="N404">
        <v>1</v>
      </c>
      <c r="O404">
        <v>37</v>
      </c>
    </row>
    <row r="405" spans="1:15" x14ac:dyDescent="0.25">
      <c r="A405">
        <v>110</v>
      </c>
      <c r="B405" t="s">
        <v>8</v>
      </c>
      <c r="C405" s="1">
        <v>92197</v>
      </c>
      <c r="D405" s="1" t="s">
        <v>53</v>
      </c>
      <c r="E405">
        <v>42.570590000000003</v>
      </c>
      <c r="F405">
        <v>12.632300000000001</v>
      </c>
      <c r="G405" s="1">
        <v>92198</v>
      </c>
      <c r="H405" s="1" t="s">
        <v>48</v>
      </c>
      <c r="I405">
        <v>42.529159999999997</v>
      </c>
      <c r="J405">
        <v>12.51361</v>
      </c>
      <c r="K405">
        <v>25</v>
      </c>
      <c r="L405">
        <v>475</v>
      </c>
      <c r="M405">
        <v>7218.6190199457833</v>
      </c>
      <c r="N405">
        <v>2</v>
      </c>
      <c r="O405">
        <v>475</v>
      </c>
    </row>
    <row r="406" spans="1:15" x14ac:dyDescent="0.25">
      <c r="A406">
        <v>110</v>
      </c>
      <c r="B406" t="s">
        <v>9</v>
      </c>
      <c r="C406" s="1">
        <v>25290</v>
      </c>
      <c r="D406" s="1" t="s">
        <v>32</v>
      </c>
      <c r="E406">
        <v>43.81803</v>
      </c>
      <c r="F406">
        <v>11.211550000000001</v>
      </c>
      <c r="G406" s="1">
        <v>25239</v>
      </c>
      <c r="H406" s="1" t="s">
        <v>31</v>
      </c>
      <c r="I406">
        <v>43.77281</v>
      </c>
      <c r="J406">
        <v>11.29452</v>
      </c>
      <c r="K406">
        <v>130.00000000019281</v>
      </c>
      <c r="L406">
        <v>4987.0999990190448</v>
      </c>
      <c r="M406">
        <v>18228.835908953999</v>
      </c>
      <c r="N406">
        <v>5</v>
      </c>
      <c r="O406">
        <v>4987.1000000000004</v>
      </c>
    </row>
    <row r="407" spans="1:15" x14ac:dyDescent="0.25">
      <c r="A407">
        <v>110</v>
      </c>
      <c r="B407" t="s">
        <v>9</v>
      </c>
      <c r="C407" s="1">
        <v>25290</v>
      </c>
      <c r="D407" s="1" t="s">
        <v>32</v>
      </c>
      <c r="E407">
        <v>43.81803</v>
      </c>
      <c r="F407">
        <v>11.211550000000001</v>
      </c>
      <c r="G407" s="1">
        <v>25398</v>
      </c>
      <c r="H407" s="1" t="s">
        <v>31</v>
      </c>
      <c r="I407">
        <v>43.769460000000002</v>
      </c>
      <c r="J407">
        <v>11.19172</v>
      </c>
      <c r="K407">
        <v>35</v>
      </c>
      <c r="L407">
        <v>2019.719998892657</v>
      </c>
      <c r="M407">
        <v>11182.78320227965</v>
      </c>
      <c r="N407">
        <v>4</v>
      </c>
      <c r="O407">
        <v>2019.72</v>
      </c>
    </row>
    <row r="408" spans="1:15" x14ac:dyDescent="0.25">
      <c r="A408">
        <v>110</v>
      </c>
      <c r="B408" t="s">
        <v>9</v>
      </c>
      <c r="C408" s="1">
        <v>25290</v>
      </c>
      <c r="D408" s="1" t="s">
        <v>32</v>
      </c>
      <c r="E408">
        <v>43.81803</v>
      </c>
      <c r="F408">
        <v>11.211550000000001</v>
      </c>
      <c r="G408" s="1">
        <v>25400</v>
      </c>
      <c r="H408" s="1" t="s">
        <v>31</v>
      </c>
      <c r="I408">
        <v>43.798690000000001</v>
      </c>
      <c r="J408">
        <v>11.20762</v>
      </c>
      <c r="K408">
        <v>77.9999999668089</v>
      </c>
      <c r="L408">
        <v>6189.9599993296224</v>
      </c>
      <c r="M408">
        <v>10086.622536287879</v>
      </c>
      <c r="N408">
        <v>7</v>
      </c>
      <c r="O408">
        <v>6189.96</v>
      </c>
    </row>
    <row r="409" spans="1:15" x14ac:dyDescent="0.25">
      <c r="A409">
        <v>110</v>
      </c>
      <c r="B409" t="s">
        <v>9</v>
      </c>
      <c r="C409" s="1">
        <v>25290</v>
      </c>
      <c r="D409" s="1" t="s">
        <v>32</v>
      </c>
      <c r="E409">
        <v>43.81803</v>
      </c>
      <c r="F409">
        <v>11.211550000000001</v>
      </c>
      <c r="G409" s="1">
        <v>25401</v>
      </c>
      <c r="H409" s="1" t="s">
        <v>36</v>
      </c>
      <c r="I409">
        <v>43.87838</v>
      </c>
      <c r="J409">
        <v>11.103210000000001</v>
      </c>
      <c r="K409">
        <v>154.99999999973389</v>
      </c>
      <c r="L409">
        <v>2791.29999936996</v>
      </c>
      <c r="M409">
        <v>18690.63308531417</v>
      </c>
      <c r="N409">
        <v>5</v>
      </c>
      <c r="O409">
        <v>2791.3</v>
      </c>
    </row>
    <row r="410" spans="1:15" x14ac:dyDescent="0.25">
      <c r="A410">
        <v>110</v>
      </c>
      <c r="B410" t="s">
        <v>9</v>
      </c>
      <c r="C410" s="1">
        <v>25290</v>
      </c>
      <c r="D410" s="1" t="s">
        <v>32</v>
      </c>
      <c r="E410">
        <v>43.81803</v>
      </c>
      <c r="F410">
        <v>11.211550000000001</v>
      </c>
      <c r="G410" s="1">
        <v>25417</v>
      </c>
      <c r="H410" s="1" t="s">
        <v>37</v>
      </c>
      <c r="I410">
        <v>43.754040000000003</v>
      </c>
      <c r="J410">
        <v>11.32128</v>
      </c>
      <c r="K410">
        <v>64.000000000477812</v>
      </c>
      <c r="L410">
        <v>973.29999887057124</v>
      </c>
      <c r="M410">
        <v>14194.18689443885</v>
      </c>
      <c r="N410">
        <v>2</v>
      </c>
      <c r="O410">
        <v>973.3</v>
      </c>
    </row>
    <row r="411" spans="1:15" x14ac:dyDescent="0.25">
      <c r="A411">
        <v>110</v>
      </c>
      <c r="B411" t="s">
        <v>9</v>
      </c>
      <c r="C411" s="1">
        <v>25398</v>
      </c>
      <c r="D411" s="1" t="s">
        <v>31</v>
      </c>
      <c r="E411">
        <v>43.769460000000002</v>
      </c>
      <c r="F411">
        <v>11.19172</v>
      </c>
      <c r="G411" s="1">
        <v>25239</v>
      </c>
      <c r="H411" s="1" t="s">
        <v>31</v>
      </c>
      <c r="I411">
        <v>43.77281</v>
      </c>
      <c r="J411">
        <v>11.29452</v>
      </c>
      <c r="K411">
        <v>10.0000000645288</v>
      </c>
      <c r="L411">
        <v>133.99999869400929</v>
      </c>
      <c r="M411">
        <v>2916.6137454326399</v>
      </c>
      <c r="N411">
        <v>1</v>
      </c>
      <c r="O411">
        <v>134</v>
      </c>
    </row>
    <row r="412" spans="1:15" x14ac:dyDescent="0.25">
      <c r="A412">
        <v>110</v>
      </c>
      <c r="B412" t="s">
        <v>9</v>
      </c>
      <c r="C412" s="1">
        <v>25398</v>
      </c>
      <c r="D412" s="1" t="s">
        <v>31</v>
      </c>
      <c r="E412">
        <v>43.769460000000002</v>
      </c>
      <c r="F412">
        <v>11.19172</v>
      </c>
      <c r="G412" s="1">
        <v>25290</v>
      </c>
      <c r="H412" s="1" t="s">
        <v>32</v>
      </c>
      <c r="I412">
        <v>43.81803</v>
      </c>
      <c r="J412">
        <v>11.211550000000001</v>
      </c>
      <c r="K412">
        <v>29.999999901973101</v>
      </c>
      <c r="L412">
        <v>38</v>
      </c>
      <c r="M412">
        <v>4377.3511296034876</v>
      </c>
      <c r="N412">
        <v>1</v>
      </c>
      <c r="O412">
        <v>38</v>
      </c>
    </row>
    <row r="413" spans="1:15" x14ac:dyDescent="0.25">
      <c r="A413">
        <v>110</v>
      </c>
      <c r="B413" t="s">
        <v>9</v>
      </c>
      <c r="C413" s="1">
        <v>25400</v>
      </c>
      <c r="D413" s="1" t="s">
        <v>31</v>
      </c>
      <c r="E413">
        <v>43.798690000000001</v>
      </c>
      <c r="F413">
        <v>11.20762</v>
      </c>
      <c r="G413" s="1">
        <v>25290</v>
      </c>
      <c r="H413" s="1" t="s">
        <v>32</v>
      </c>
      <c r="I413">
        <v>43.81803</v>
      </c>
      <c r="J413">
        <v>11.211550000000001</v>
      </c>
      <c r="K413">
        <v>71.999999999425611</v>
      </c>
      <c r="L413">
        <v>159.91999892621601</v>
      </c>
      <c r="M413">
        <v>2673.5625999799199</v>
      </c>
      <c r="N413">
        <v>2</v>
      </c>
      <c r="O413">
        <v>159.91999999999999</v>
      </c>
    </row>
    <row r="414" spans="1:15" x14ac:dyDescent="0.25">
      <c r="A414">
        <v>110</v>
      </c>
      <c r="B414" t="s">
        <v>9</v>
      </c>
      <c r="C414" s="1">
        <v>25400</v>
      </c>
      <c r="D414" s="1" t="s">
        <v>31</v>
      </c>
      <c r="E414">
        <v>43.798690000000001</v>
      </c>
      <c r="F414">
        <v>11.20762</v>
      </c>
      <c r="G414" s="1">
        <v>25398</v>
      </c>
      <c r="H414" s="1" t="s">
        <v>31</v>
      </c>
      <c r="I414">
        <v>43.769460000000002</v>
      </c>
      <c r="J414">
        <v>11.19172</v>
      </c>
      <c r="K414">
        <v>12.99999996733523</v>
      </c>
      <c r="L414">
        <v>961.39999854088671</v>
      </c>
      <c r="M414">
        <v>2989.529089068456</v>
      </c>
      <c r="N414">
        <v>2</v>
      </c>
      <c r="O414">
        <v>961.4</v>
      </c>
    </row>
    <row r="415" spans="1:15" x14ac:dyDescent="0.25">
      <c r="A415">
        <v>110</v>
      </c>
      <c r="B415" t="s">
        <v>9</v>
      </c>
      <c r="C415" s="1">
        <v>25401</v>
      </c>
      <c r="D415" s="1" t="s">
        <v>36</v>
      </c>
      <c r="E415">
        <v>43.87838</v>
      </c>
      <c r="F415">
        <v>11.103210000000001</v>
      </c>
      <c r="G415" s="1">
        <v>25290</v>
      </c>
      <c r="H415" s="1" t="s">
        <v>32</v>
      </c>
      <c r="I415">
        <v>43.81803</v>
      </c>
      <c r="J415">
        <v>11.211550000000001</v>
      </c>
      <c r="K415">
        <v>61</v>
      </c>
      <c r="L415">
        <v>58.8</v>
      </c>
      <c r="M415">
        <v>3767.2927545171601</v>
      </c>
      <c r="N415">
        <v>1</v>
      </c>
      <c r="O415">
        <v>58.8</v>
      </c>
    </row>
    <row r="416" spans="1:15" x14ac:dyDescent="0.25">
      <c r="A416">
        <v>110</v>
      </c>
      <c r="B416" t="s">
        <v>9</v>
      </c>
      <c r="C416" s="1">
        <v>25401</v>
      </c>
      <c r="D416" s="1" t="s">
        <v>36</v>
      </c>
      <c r="E416">
        <v>43.87838</v>
      </c>
      <c r="F416">
        <v>11.103210000000001</v>
      </c>
      <c r="G416" s="1">
        <v>25433</v>
      </c>
      <c r="H416" s="1" t="s">
        <v>44</v>
      </c>
      <c r="I416">
        <v>43.923850000000002</v>
      </c>
      <c r="J416">
        <v>11.03511</v>
      </c>
      <c r="K416">
        <v>18</v>
      </c>
      <c r="L416">
        <v>791.9999976041945</v>
      </c>
      <c r="M416">
        <v>2916.6137454326399</v>
      </c>
      <c r="N416">
        <v>1</v>
      </c>
      <c r="O416">
        <v>792</v>
      </c>
    </row>
    <row r="417" spans="1:15" x14ac:dyDescent="0.25">
      <c r="A417">
        <v>110</v>
      </c>
      <c r="B417" t="s">
        <v>9</v>
      </c>
      <c r="C417" s="1">
        <v>25421</v>
      </c>
      <c r="D417" s="1" t="s">
        <v>41</v>
      </c>
      <c r="E417">
        <v>43.619419999999998</v>
      </c>
      <c r="F417">
        <v>11.47508</v>
      </c>
      <c r="G417" s="1">
        <v>4142</v>
      </c>
      <c r="H417" s="1" t="s">
        <v>42</v>
      </c>
      <c r="I417">
        <v>43.529310000000002</v>
      </c>
      <c r="J417">
        <v>11.56737</v>
      </c>
      <c r="K417">
        <v>14</v>
      </c>
      <c r="L417">
        <v>86.399999999370237</v>
      </c>
      <c r="M417">
        <v>3645.7671817907999</v>
      </c>
      <c r="N417">
        <v>1</v>
      </c>
      <c r="O417">
        <v>86.4</v>
      </c>
    </row>
    <row r="418" spans="1:15" x14ac:dyDescent="0.25">
      <c r="A418">
        <v>110</v>
      </c>
      <c r="B418" t="s">
        <v>9</v>
      </c>
      <c r="C418" s="1">
        <v>25421</v>
      </c>
      <c r="D418" s="1" t="s">
        <v>41</v>
      </c>
      <c r="E418">
        <v>43.619419999999998</v>
      </c>
      <c r="F418">
        <v>11.47508</v>
      </c>
      <c r="G418" s="1">
        <v>4144</v>
      </c>
      <c r="H418" s="1" t="s">
        <v>38</v>
      </c>
      <c r="I418">
        <v>43.568049999999999</v>
      </c>
      <c r="J418">
        <v>11.529260000000001</v>
      </c>
      <c r="K418">
        <v>5</v>
      </c>
      <c r="L418">
        <v>194.39999979959299</v>
      </c>
      <c r="M418">
        <v>2187.4603090744799</v>
      </c>
      <c r="N418">
        <v>1</v>
      </c>
      <c r="O418">
        <v>194.4</v>
      </c>
    </row>
    <row r="419" spans="1:15" x14ac:dyDescent="0.25">
      <c r="A419">
        <v>110</v>
      </c>
      <c r="B419" t="s">
        <v>9</v>
      </c>
      <c r="C419" s="1">
        <v>32094</v>
      </c>
      <c r="D419" s="1" t="s">
        <v>54</v>
      </c>
      <c r="E419">
        <v>43.304879999999997</v>
      </c>
      <c r="F419">
        <v>10.5182</v>
      </c>
      <c r="G419" s="1">
        <v>32098</v>
      </c>
      <c r="H419" s="1" t="s">
        <v>50</v>
      </c>
      <c r="I419">
        <v>43.393940000000001</v>
      </c>
      <c r="J419">
        <v>10.43547</v>
      </c>
      <c r="K419">
        <v>7</v>
      </c>
      <c r="L419">
        <v>70.8</v>
      </c>
      <c r="M419">
        <v>2189.8908205290072</v>
      </c>
      <c r="N419">
        <v>1</v>
      </c>
      <c r="O419">
        <v>70.8</v>
      </c>
    </row>
    <row r="420" spans="1:15" x14ac:dyDescent="0.25">
      <c r="A420">
        <v>110</v>
      </c>
      <c r="B420" t="s">
        <v>9</v>
      </c>
      <c r="C420" s="1">
        <v>33212</v>
      </c>
      <c r="D420" s="1" t="s">
        <v>46</v>
      </c>
      <c r="E420">
        <v>43.844110000000001</v>
      </c>
      <c r="F420">
        <v>10.525460000000001</v>
      </c>
      <c r="G420" s="1">
        <v>77150</v>
      </c>
      <c r="H420" s="1" t="s">
        <v>46</v>
      </c>
      <c r="I420">
        <v>43.860230000000001</v>
      </c>
      <c r="J420">
        <v>10.51596</v>
      </c>
      <c r="K420">
        <v>2</v>
      </c>
      <c r="L420">
        <v>153</v>
      </c>
      <c r="M420">
        <v>1069.4250399919681</v>
      </c>
      <c r="N420">
        <v>1</v>
      </c>
      <c r="O420">
        <v>153</v>
      </c>
    </row>
    <row r="421" spans="1:15" x14ac:dyDescent="0.25">
      <c r="A421">
        <v>110</v>
      </c>
      <c r="B421" t="s">
        <v>9</v>
      </c>
      <c r="C421" s="1">
        <v>33214</v>
      </c>
      <c r="D421" s="1" t="s">
        <v>51</v>
      </c>
      <c r="E421">
        <v>43.868270000000003</v>
      </c>
      <c r="F421">
        <v>10.252879999999999</v>
      </c>
      <c r="G421" s="1">
        <v>33220</v>
      </c>
      <c r="H421" s="1" t="s">
        <v>39</v>
      </c>
      <c r="I421">
        <v>43.894159999999999</v>
      </c>
      <c r="J421">
        <v>10.22714</v>
      </c>
      <c r="K421">
        <v>4</v>
      </c>
      <c r="L421">
        <v>210.69999907687929</v>
      </c>
      <c r="M421">
        <v>4642.2768781469513</v>
      </c>
      <c r="N421">
        <v>4</v>
      </c>
      <c r="O421">
        <v>210.7</v>
      </c>
    </row>
    <row r="422" spans="1:15" x14ac:dyDescent="0.25">
      <c r="A422">
        <v>110</v>
      </c>
      <c r="B422" t="s">
        <v>9</v>
      </c>
      <c r="C422" s="1">
        <v>33218</v>
      </c>
      <c r="D422" s="1" t="s">
        <v>52</v>
      </c>
      <c r="E422">
        <v>44.033050000000003</v>
      </c>
      <c r="F422">
        <v>10.50367</v>
      </c>
      <c r="G422" s="1">
        <v>33219</v>
      </c>
      <c r="H422" s="1" t="s">
        <v>47</v>
      </c>
      <c r="I422">
        <v>44.110500000000002</v>
      </c>
      <c r="J422">
        <v>10.41159</v>
      </c>
      <c r="K422">
        <v>25</v>
      </c>
      <c r="L422">
        <v>358.49999999999989</v>
      </c>
      <c r="M422">
        <v>4131.8694726962403</v>
      </c>
      <c r="N422">
        <v>1</v>
      </c>
      <c r="O422">
        <v>358.5</v>
      </c>
    </row>
    <row r="423" spans="1:15" x14ac:dyDescent="0.25">
      <c r="A423">
        <v>110</v>
      </c>
      <c r="B423" t="s">
        <v>9</v>
      </c>
      <c r="C423" s="1">
        <v>33220</v>
      </c>
      <c r="D423" s="1" t="s">
        <v>39</v>
      </c>
      <c r="E423">
        <v>43.894159999999999</v>
      </c>
      <c r="F423">
        <v>10.22714</v>
      </c>
      <c r="G423" s="1">
        <v>33221</v>
      </c>
      <c r="H423" s="1" t="s">
        <v>40</v>
      </c>
      <c r="I423">
        <v>43.956339999999997</v>
      </c>
      <c r="J423">
        <v>10.22996</v>
      </c>
      <c r="K423">
        <v>5</v>
      </c>
      <c r="L423">
        <v>168.2999985031546</v>
      </c>
      <c r="M423">
        <v>10164.398902832751</v>
      </c>
      <c r="N423">
        <v>4</v>
      </c>
      <c r="O423">
        <v>168.3</v>
      </c>
    </row>
    <row r="424" spans="1:15" x14ac:dyDescent="0.25">
      <c r="A424">
        <v>110</v>
      </c>
      <c r="B424" t="s">
        <v>9</v>
      </c>
      <c r="C424" s="1">
        <v>4144</v>
      </c>
      <c r="D424" s="1" t="s">
        <v>38</v>
      </c>
      <c r="E424">
        <v>43.568049999999999</v>
      </c>
      <c r="F424">
        <v>11.529260000000001</v>
      </c>
      <c r="G424" s="1">
        <v>25421</v>
      </c>
      <c r="H424" s="1" t="s">
        <v>41</v>
      </c>
      <c r="I424">
        <v>43.619419999999998</v>
      </c>
      <c r="J424">
        <v>11.47508</v>
      </c>
      <c r="K424">
        <v>2</v>
      </c>
      <c r="L424">
        <v>82.599998559457362</v>
      </c>
      <c r="M424">
        <v>6691.1980343133819</v>
      </c>
      <c r="N424">
        <v>1</v>
      </c>
      <c r="O424">
        <v>82.6</v>
      </c>
    </row>
    <row r="425" spans="1:15" x14ac:dyDescent="0.25">
      <c r="A425">
        <v>110</v>
      </c>
      <c r="B425" t="s">
        <v>9</v>
      </c>
      <c r="C425" s="1">
        <v>4144</v>
      </c>
      <c r="D425" s="1" t="s">
        <v>38</v>
      </c>
      <c r="E425">
        <v>43.568049999999999</v>
      </c>
      <c r="F425">
        <v>11.529260000000001</v>
      </c>
      <c r="G425" s="1">
        <v>4142</v>
      </c>
      <c r="H425" s="1" t="s">
        <v>42</v>
      </c>
      <c r="I425">
        <v>43.529310000000002</v>
      </c>
      <c r="J425">
        <v>11.56737</v>
      </c>
      <c r="K425">
        <v>5</v>
      </c>
      <c r="L425">
        <v>244.59999829365711</v>
      </c>
      <c r="M425">
        <v>1458.30687271632</v>
      </c>
      <c r="N425">
        <v>1</v>
      </c>
      <c r="O425">
        <v>244.6</v>
      </c>
    </row>
    <row r="426" spans="1:15" x14ac:dyDescent="0.25">
      <c r="A426">
        <v>110</v>
      </c>
      <c r="B426" t="s">
        <v>9</v>
      </c>
      <c r="C426" s="1">
        <v>46445</v>
      </c>
      <c r="D426" s="1" t="s">
        <v>35</v>
      </c>
      <c r="E426">
        <v>43.10801</v>
      </c>
      <c r="F426">
        <v>12.377940000000001</v>
      </c>
      <c r="G426" s="1">
        <v>46468</v>
      </c>
      <c r="H426" s="1" t="s">
        <v>33</v>
      </c>
      <c r="I426">
        <v>43.116489999999999</v>
      </c>
      <c r="J426">
        <v>12.45126</v>
      </c>
      <c r="K426">
        <v>8</v>
      </c>
      <c r="L426">
        <v>369.39999816284978</v>
      </c>
      <c r="M426">
        <v>9381.7742144749918</v>
      </c>
      <c r="N426">
        <v>3</v>
      </c>
      <c r="O426">
        <v>369.4</v>
      </c>
    </row>
    <row r="427" spans="1:15" x14ac:dyDescent="0.25">
      <c r="A427">
        <v>110</v>
      </c>
      <c r="B427" t="s">
        <v>9</v>
      </c>
      <c r="C427" s="1">
        <v>46445</v>
      </c>
      <c r="D427" s="1" t="s">
        <v>35</v>
      </c>
      <c r="E427">
        <v>43.10801</v>
      </c>
      <c r="F427">
        <v>12.377940000000001</v>
      </c>
      <c r="G427" s="1">
        <v>46471</v>
      </c>
      <c r="H427" s="1" t="s">
        <v>34</v>
      </c>
      <c r="I427">
        <v>43.10031</v>
      </c>
      <c r="J427">
        <v>12.318519999999999</v>
      </c>
      <c r="K427">
        <v>12</v>
      </c>
      <c r="L427">
        <v>376.99999999985988</v>
      </c>
      <c r="M427">
        <v>5420.0405435956563</v>
      </c>
      <c r="N427">
        <v>3</v>
      </c>
      <c r="O427">
        <v>377</v>
      </c>
    </row>
    <row r="428" spans="1:15" x14ac:dyDescent="0.25">
      <c r="A428">
        <v>110</v>
      </c>
      <c r="B428" t="s">
        <v>9</v>
      </c>
      <c r="C428" s="1">
        <v>46471</v>
      </c>
      <c r="D428" s="1" t="s">
        <v>34</v>
      </c>
      <c r="E428">
        <v>43.10031</v>
      </c>
      <c r="F428">
        <v>12.318519999999999</v>
      </c>
      <c r="G428" s="1">
        <v>46445</v>
      </c>
      <c r="H428" s="1" t="s">
        <v>35</v>
      </c>
      <c r="I428">
        <v>43.10801</v>
      </c>
      <c r="J428">
        <v>12.377940000000001</v>
      </c>
      <c r="K428">
        <v>12</v>
      </c>
      <c r="L428">
        <v>678.87999989396792</v>
      </c>
      <c r="M428">
        <v>1701.35801816904</v>
      </c>
      <c r="N428">
        <v>1</v>
      </c>
      <c r="O428">
        <v>678.88</v>
      </c>
    </row>
    <row r="429" spans="1:15" x14ac:dyDescent="0.25">
      <c r="A429">
        <v>110</v>
      </c>
      <c r="B429" t="s">
        <v>9</v>
      </c>
      <c r="C429" s="1">
        <v>59131</v>
      </c>
      <c r="D429" s="1" t="s">
        <v>45</v>
      </c>
      <c r="E429">
        <v>43.331879999999998</v>
      </c>
      <c r="F429">
        <v>11.32122</v>
      </c>
      <c r="G429" s="1">
        <v>59157</v>
      </c>
      <c r="H429" s="1" t="s">
        <v>45</v>
      </c>
      <c r="I429">
        <v>43.29034</v>
      </c>
      <c r="J429">
        <v>11.33822</v>
      </c>
      <c r="K429">
        <v>20</v>
      </c>
      <c r="L429">
        <v>1303.4199999995881</v>
      </c>
      <c r="M429">
        <v>4.8610229090543999</v>
      </c>
      <c r="N429">
        <v>2</v>
      </c>
      <c r="O429">
        <v>1303.42</v>
      </c>
    </row>
    <row r="430" spans="1:15" x14ac:dyDescent="0.25">
      <c r="A430">
        <v>110</v>
      </c>
      <c r="B430" t="s">
        <v>9</v>
      </c>
      <c r="C430" s="1">
        <v>59157</v>
      </c>
      <c r="D430" s="1" t="s">
        <v>45</v>
      </c>
      <c r="E430">
        <v>43.29034</v>
      </c>
      <c r="F430">
        <v>11.33822</v>
      </c>
      <c r="G430" s="1">
        <v>59131</v>
      </c>
      <c r="H430" s="1" t="s">
        <v>45</v>
      </c>
      <c r="I430">
        <v>43.331879999999998</v>
      </c>
      <c r="J430">
        <v>11.32122</v>
      </c>
      <c r="K430">
        <v>7</v>
      </c>
      <c r="L430">
        <v>408.3999999957407</v>
      </c>
      <c r="M430">
        <v>2187.4603090744799</v>
      </c>
      <c r="N430">
        <v>1</v>
      </c>
      <c r="O430">
        <v>408.4</v>
      </c>
    </row>
    <row r="431" spans="1:15" x14ac:dyDescent="0.25">
      <c r="A431">
        <v>110</v>
      </c>
      <c r="B431" t="s">
        <v>9</v>
      </c>
      <c r="C431" s="1">
        <v>77343</v>
      </c>
      <c r="D431" s="1" t="s">
        <v>43</v>
      </c>
      <c r="E431">
        <v>42.812559999999998</v>
      </c>
      <c r="F431">
        <v>10.31758</v>
      </c>
      <c r="G431" s="1">
        <v>32095</v>
      </c>
      <c r="H431" s="1" t="s">
        <v>43</v>
      </c>
      <c r="I431">
        <v>42.810519999999997</v>
      </c>
      <c r="J431">
        <v>10.30799</v>
      </c>
      <c r="K431">
        <v>3</v>
      </c>
      <c r="L431">
        <v>273.7</v>
      </c>
      <c r="M431">
        <v>291.661374543264</v>
      </c>
      <c r="N431">
        <v>1</v>
      </c>
      <c r="O431">
        <v>273.7</v>
      </c>
    </row>
    <row r="432" spans="1:15" x14ac:dyDescent="0.25">
      <c r="A432">
        <v>110</v>
      </c>
      <c r="B432" t="s">
        <v>9</v>
      </c>
      <c r="C432" s="1">
        <v>85210</v>
      </c>
      <c r="D432" s="1" t="s">
        <v>49</v>
      </c>
      <c r="E432">
        <v>43.928640000000001</v>
      </c>
      <c r="F432">
        <v>10.9284</v>
      </c>
      <c r="G432" s="1">
        <v>77334</v>
      </c>
      <c r="H432" s="1" t="s">
        <v>49</v>
      </c>
      <c r="I432">
        <v>43.939680000000003</v>
      </c>
      <c r="J432">
        <v>10.943490000000001</v>
      </c>
      <c r="K432">
        <v>1</v>
      </c>
      <c r="L432">
        <v>37</v>
      </c>
      <c r="M432">
        <v>850.67900908451998</v>
      </c>
      <c r="N432">
        <v>1</v>
      </c>
      <c r="O432">
        <v>37</v>
      </c>
    </row>
    <row r="433" spans="1:15" x14ac:dyDescent="0.25">
      <c r="A433">
        <v>110</v>
      </c>
      <c r="B433" t="s">
        <v>9</v>
      </c>
      <c r="C433" s="1">
        <v>92197</v>
      </c>
      <c r="D433" s="1" t="s">
        <v>53</v>
      </c>
      <c r="E433">
        <v>42.570590000000003</v>
      </c>
      <c r="F433">
        <v>12.632300000000001</v>
      </c>
      <c r="G433" s="1">
        <v>92198</v>
      </c>
      <c r="H433" s="1" t="s">
        <v>48</v>
      </c>
      <c r="I433">
        <v>42.529159999999997</v>
      </c>
      <c r="J433">
        <v>12.51361</v>
      </c>
      <c r="K433">
        <v>25</v>
      </c>
      <c r="L433">
        <v>475</v>
      </c>
      <c r="M433">
        <v>7218.6190199457833</v>
      </c>
      <c r="N433">
        <v>2</v>
      </c>
      <c r="O433">
        <v>475</v>
      </c>
    </row>
    <row r="434" spans="1:15" x14ac:dyDescent="0.25">
      <c r="A434">
        <v>130</v>
      </c>
      <c r="B434" t="s">
        <v>7</v>
      </c>
      <c r="C434" s="1">
        <v>25290</v>
      </c>
      <c r="D434" s="1" t="s">
        <v>32</v>
      </c>
      <c r="E434">
        <v>43.81803</v>
      </c>
      <c r="F434">
        <v>11.211550000000001</v>
      </c>
      <c r="G434" s="1">
        <v>25239</v>
      </c>
      <c r="H434" s="1" t="s">
        <v>31</v>
      </c>
      <c r="I434">
        <v>43.77281</v>
      </c>
      <c r="J434">
        <v>11.29452</v>
      </c>
      <c r="K434">
        <v>130</v>
      </c>
      <c r="L434">
        <v>4987.1000000000004</v>
      </c>
      <c r="M434">
        <v>18228.835908953999</v>
      </c>
      <c r="N434">
        <v>5</v>
      </c>
      <c r="O434">
        <v>4987.1000000000004</v>
      </c>
    </row>
    <row r="435" spans="1:15" x14ac:dyDescent="0.25">
      <c r="A435">
        <v>130</v>
      </c>
      <c r="B435" t="s">
        <v>7</v>
      </c>
      <c r="C435" s="1">
        <v>25290</v>
      </c>
      <c r="D435" s="1" t="s">
        <v>32</v>
      </c>
      <c r="E435">
        <v>43.81803</v>
      </c>
      <c r="F435">
        <v>11.211550000000001</v>
      </c>
      <c r="G435" s="1">
        <v>25398</v>
      </c>
      <c r="H435" s="1" t="s">
        <v>31</v>
      </c>
      <c r="I435">
        <v>43.769460000000002</v>
      </c>
      <c r="J435">
        <v>11.19172</v>
      </c>
      <c r="K435">
        <v>35</v>
      </c>
      <c r="L435">
        <v>2019.72</v>
      </c>
      <c r="M435">
        <v>11182.78320227965</v>
      </c>
      <c r="N435">
        <v>4</v>
      </c>
      <c r="O435">
        <v>2019.72</v>
      </c>
    </row>
    <row r="436" spans="1:15" x14ac:dyDescent="0.25">
      <c r="A436">
        <v>130</v>
      </c>
      <c r="B436" t="s">
        <v>7</v>
      </c>
      <c r="C436" s="1">
        <v>25290</v>
      </c>
      <c r="D436" s="1" t="s">
        <v>32</v>
      </c>
      <c r="E436">
        <v>43.81803</v>
      </c>
      <c r="F436">
        <v>11.211550000000001</v>
      </c>
      <c r="G436" s="1">
        <v>25400</v>
      </c>
      <c r="H436" s="1" t="s">
        <v>31</v>
      </c>
      <c r="I436">
        <v>43.798690000000001</v>
      </c>
      <c r="J436">
        <v>11.20762</v>
      </c>
      <c r="K436">
        <v>142</v>
      </c>
      <c r="L436">
        <v>6189.96</v>
      </c>
      <c r="M436">
        <v>10086.622536287879</v>
      </c>
      <c r="N436">
        <v>7</v>
      </c>
      <c r="O436">
        <v>6189.96</v>
      </c>
    </row>
    <row r="437" spans="1:15" x14ac:dyDescent="0.25">
      <c r="A437">
        <v>130</v>
      </c>
      <c r="B437" t="s">
        <v>7</v>
      </c>
      <c r="C437" s="1">
        <v>25290</v>
      </c>
      <c r="D437" s="1" t="s">
        <v>32</v>
      </c>
      <c r="E437">
        <v>43.81803</v>
      </c>
      <c r="F437">
        <v>11.211550000000001</v>
      </c>
      <c r="G437" s="1">
        <v>25401</v>
      </c>
      <c r="H437" s="1" t="s">
        <v>36</v>
      </c>
      <c r="I437">
        <v>43.87838</v>
      </c>
      <c r="J437">
        <v>11.103210000000001</v>
      </c>
      <c r="K437">
        <v>155</v>
      </c>
      <c r="L437">
        <v>2791.3</v>
      </c>
      <c r="M437">
        <v>18690.63308531417</v>
      </c>
      <c r="N437">
        <v>5</v>
      </c>
      <c r="O437">
        <v>2791.3</v>
      </c>
    </row>
    <row r="438" spans="1:15" x14ac:dyDescent="0.25">
      <c r="A438">
        <v>130</v>
      </c>
      <c r="B438" t="s">
        <v>7</v>
      </c>
      <c r="C438" s="1">
        <v>25290</v>
      </c>
      <c r="D438" s="1" t="s">
        <v>32</v>
      </c>
      <c r="E438">
        <v>43.81803</v>
      </c>
      <c r="F438">
        <v>11.211550000000001</v>
      </c>
      <c r="G438" s="1">
        <v>25417</v>
      </c>
      <c r="H438" s="1" t="s">
        <v>37</v>
      </c>
      <c r="I438">
        <v>43.754040000000003</v>
      </c>
      <c r="J438">
        <v>11.32128</v>
      </c>
      <c r="K438">
        <v>64</v>
      </c>
      <c r="L438">
        <v>973.3</v>
      </c>
      <c r="M438">
        <v>14194.18689443885</v>
      </c>
      <c r="N438">
        <v>2</v>
      </c>
      <c r="O438">
        <v>973.3</v>
      </c>
    </row>
    <row r="439" spans="1:15" x14ac:dyDescent="0.25">
      <c r="A439">
        <v>130</v>
      </c>
      <c r="B439" t="s">
        <v>7</v>
      </c>
      <c r="C439" s="1">
        <v>25398</v>
      </c>
      <c r="D439" s="1" t="s">
        <v>31</v>
      </c>
      <c r="E439">
        <v>43.769460000000002</v>
      </c>
      <c r="F439">
        <v>11.19172</v>
      </c>
      <c r="G439" s="1">
        <v>25239</v>
      </c>
      <c r="H439" s="1" t="s">
        <v>31</v>
      </c>
      <c r="I439">
        <v>43.77281</v>
      </c>
      <c r="J439">
        <v>11.29452</v>
      </c>
      <c r="K439">
        <v>4</v>
      </c>
      <c r="L439">
        <v>134</v>
      </c>
      <c r="M439">
        <v>2916.6137454326399</v>
      </c>
      <c r="N439">
        <v>1</v>
      </c>
      <c r="O439">
        <v>134</v>
      </c>
    </row>
    <row r="440" spans="1:15" x14ac:dyDescent="0.25">
      <c r="A440">
        <v>130</v>
      </c>
      <c r="B440" t="s">
        <v>7</v>
      </c>
      <c r="C440" s="1">
        <v>25398</v>
      </c>
      <c r="D440" s="1" t="s">
        <v>31</v>
      </c>
      <c r="E440">
        <v>43.769460000000002</v>
      </c>
      <c r="F440">
        <v>11.19172</v>
      </c>
      <c r="G440" s="1">
        <v>25290</v>
      </c>
      <c r="H440" s="1" t="s">
        <v>32</v>
      </c>
      <c r="I440">
        <v>43.81803</v>
      </c>
      <c r="J440">
        <v>11.211550000000001</v>
      </c>
      <c r="K440">
        <v>100</v>
      </c>
      <c r="L440">
        <v>38</v>
      </c>
      <c r="M440">
        <v>4377.3511296034876</v>
      </c>
      <c r="N440">
        <v>1</v>
      </c>
      <c r="O440">
        <v>38</v>
      </c>
    </row>
    <row r="441" spans="1:15" x14ac:dyDescent="0.25">
      <c r="A441">
        <v>130</v>
      </c>
      <c r="B441" t="s">
        <v>7</v>
      </c>
      <c r="C441" s="1">
        <v>25400</v>
      </c>
      <c r="D441" s="1" t="s">
        <v>31</v>
      </c>
      <c r="E441">
        <v>43.798690000000001</v>
      </c>
      <c r="F441">
        <v>11.20762</v>
      </c>
      <c r="G441" s="1">
        <v>25290</v>
      </c>
      <c r="H441" s="1" t="s">
        <v>32</v>
      </c>
      <c r="I441">
        <v>43.81803</v>
      </c>
      <c r="J441">
        <v>11.211550000000001</v>
      </c>
      <c r="K441">
        <v>74</v>
      </c>
      <c r="L441">
        <v>159.91999999999999</v>
      </c>
      <c r="M441">
        <v>2673.5625999799199</v>
      </c>
      <c r="N441">
        <v>2</v>
      </c>
      <c r="O441">
        <v>159.91999999999999</v>
      </c>
    </row>
    <row r="442" spans="1:15" x14ac:dyDescent="0.25">
      <c r="A442">
        <v>130</v>
      </c>
      <c r="B442" t="s">
        <v>7</v>
      </c>
      <c r="C442" s="1">
        <v>25400</v>
      </c>
      <c r="D442" s="1" t="s">
        <v>31</v>
      </c>
      <c r="E442">
        <v>43.798690000000001</v>
      </c>
      <c r="F442">
        <v>11.20762</v>
      </c>
      <c r="G442" s="1">
        <v>25398</v>
      </c>
      <c r="H442" s="1" t="s">
        <v>31</v>
      </c>
      <c r="I442">
        <v>43.769460000000002</v>
      </c>
      <c r="J442">
        <v>11.19172</v>
      </c>
      <c r="K442">
        <v>68</v>
      </c>
      <c r="L442">
        <v>961.4</v>
      </c>
      <c r="M442">
        <v>2989.529089068456</v>
      </c>
      <c r="N442">
        <v>2</v>
      </c>
      <c r="O442">
        <v>961.4</v>
      </c>
    </row>
    <row r="443" spans="1:15" x14ac:dyDescent="0.25">
      <c r="A443">
        <v>130</v>
      </c>
      <c r="B443" t="s">
        <v>7</v>
      </c>
      <c r="C443" s="1">
        <v>25401</v>
      </c>
      <c r="D443" s="1" t="s">
        <v>36</v>
      </c>
      <c r="E443">
        <v>43.87838</v>
      </c>
      <c r="F443">
        <v>11.103210000000001</v>
      </c>
      <c r="G443" s="1">
        <v>25290</v>
      </c>
      <c r="H443" s="1" t="s">
        <v>32</v>
      </c>
      <c r="I443">
        <v>43.81803</v>
      </c>
      <c r="J443">
        <v>11.211550000000001</v>
      </c>
      <c r="K443">
        <v>4</v>
      </c>
      <c r="L443">
        <v>58.8</v>
      </c>
      <c r="M443">
        <v>3767.2927545171601</v>
      </c>
      <c r="N443">
        <v>1</v>
      </c>
      <c r="O443">
        <v>58.8</v>
      </c>
    </row>
    <row r="444" spans="1:15" x14ac:dyDescent="0.25">
      <c r="A444">
        <v>130</v>
      </c>
      <c r="B444" t="s">
        <v>7</v>
      </c>
      <c r="C444" s="1">
        <v>25401</v>
      </c>
      <c r="D444" s="1" t="s">
        <v>36</v>
      </c>
      <c r="E444">
        <v>43.87838</v>
      </c>
      <c r="F444">
        <v>11.103210000000001</v>
      </c>
      <c r="G444" s="1">
        <v>25433</v>
      </c>
      <c r="H444" s="1" t="s">
        <v>44</v>
      </c>
      <c r="I444">
        <v>43.923850000000002</v>
      </c>
      <c r="J444">
        <v>11.03511</v>
      </c>
      <c r="K444">
        <v>18</v>
      </c>
      <c r="L444">
        <v>792</v>
      </c>
      <c r="M444">
        <v>2916.6137454326399</v>
      </c>
      <c r="N444">
        <v>1</v>
      </c>
      <c r="O444">
        <v>792</v>
      </c>
    </row>
    <row r="445" spans="1:15" x14ac:dyDescent="0.25">
      <c r="A445">
        <v>130</v>
      </c>
      <c r="B445" t="s">
        <v>7</v>
      </c>
      <c r="C445" s="1">
        <v>25421</v>
      </c>
      <c r="D445" s="1" t="s">
        <v>41</v>
      </c>
      <c r="E445">
        <v>43.619419999999998</v>
      </c>
      <c r="F445">
        <v>11.47508</v>
      </c>
      <c r="G445" s="1">
        <v>4142</v>
      </c>
      <c r="H445" s="1" t="s">
        <v>42</v>
      </c>
      <c r="I445">
        <v>43.529310000000002</v>
      </c>
      <c r="J445">
        <v>11.56737</v>
      </c>
      <c r="K445">
        <v>14</v>
      </c>
      <c r="L445">
        <v>86.4</v>
      </c>
      <c r="M445">
        <v>3645.7671817907999</v>
      </c>
      <c r="N445">
        <v>1</v>
      </c>
      <c r="O445">
        <v>86.4</v>
      </c>
    </row>
    <row r="446" spans="1:15" x14ac:dyDescent="0.25">
      <c r="A446">
        <v>130</v>
      </c>
      <c r="B446" t="s">
        <v>7</v>
      </c>
      <c r="C446" s="1">
        <v>25421</v>
      </c>
      <c r="D446" s="1" t="s">
        <v>41</v>
      </c>
      <c r="E446">
        <v>43.619419999999998</v>
      </c>
      <c r="F446">
        <v>11.47508</v>
      </c>
      <c r="G446" s="1">
        <v>4144</v>
      </c>
      <c r="H446" s="1" t="s">
        <v>38</v>
      </c>
      <c r="I446">
        <v>43.568049999999999</v>
      </c>
      <c r="J446">
        <v>11.529260000000001</v>
      </c>
      <c r="K446">
        <v>7</v>
      </c>
      <c r="L446">
        <v>194.4</v>
      </c>
      <c r="M446">
        <v>2187.4603090744799</v>
      </c>
      <c r="N446">
        <v>1</v>
      </c>
      <c r="O446">
        <v>194.4</v>
      </c>
    </row>
    <row r="447" spans="1:15" x14ac:dyDescent="0.25">
      <c r="A447">
        <v>130</v>
      </c>
      <c r="B447" t="s">
        <v>7</v>
      </c>
      <c r="C447" s="1">
        <v>32094</v>
      </c>
      <c r="D447" s="1" t="s">
        <v>54</v>
      </c>
      <c r="E447">
        <v>43.304879999999997</v>
      </c>
      <c r="F447">
        <v>10.5182</v>
      </c>
      <c r="G447" s="1">
        <v>32098</v>
      </c>
      <c r="H447" s="1" t="s">
        <v>50</v>
      </c>
      <c r="I447">
        <v>43.393940000000001</v>
      </c>
      <c r="J447">
        <v>10.43547</v>
      </c>
      <c r="K447">
        <v>7</v>
      </c>
      <c r="L447">
        <v>70.8</v>
      </c>
      <c r="M447">
        <v>2189.8908205290072</v>
      </c>
      <c r="N447">
        <v>1</v>
      </c>
      <c r="O447">
        <v>70.8</v>
      </c>
    </row>
    <row r="448" spans="1:15" x14ac:dyDescent="0.25">
      <c r="A448">
        <v>130</v>
      </c>
      <c r="B448" t="s">
        <v>7</v>
      </c>
      <c r="C448" s="1">
        <v>33212</v>
      </c>
      <c r="D448" s="1" t="s">
        <v>46</v>
      </c>
      <c r="E448">
        <v>43.844110000000001</v>
      </c>
      <c r="F448">
        <v>10.525460000000001</v>
      </c>
      <c r="G448" s="1">
        <v>77150</v>
      </c>
      <c r="H448" s="1" t="s">
        <v>46</v>
      </c>
      <c r="I448">
        <v>43.860230000000001</v>
      </c>
      <c r="J448">
        <v>10.51596</v>
      </c>
      <c r="K448">
        <v>2</v>
      </c>
      <c r="L448">
        <v>153</v>
      </c>
      <c r="M448">
        <v>1069.4250399919681</v>
      </c>
      <c r="N448">
        <v>1</v>
      </c>
      <c r="O448">
        <v>153</v>
      </c>
    </row>
    <row r="449" spans="1:15" x14ac:dyDescent="0.25">
      <c r="A449">
        <v>130</v>
      </c>
      <c r="B449" t="s">
        <v>7</v>
      </c>
      <c r="C449" s="1">
        <v>33214</v>
      </c>
      <c r="D449" s="1" t="s">
        <v>51</v>
      </c>
      <c r="E449">
        <v>43.868270000000003</v>
      </c>
      <c r="F449">
        <v>10.252879999999999</v>
      </c>
      <c r="G449" s="1">
        <v>33220</v>
      </c>
      <c r="H449" s="1" t="s">
        <v>39</v>
      </c>
      <c r="I449">
        <v>43.894159999999999</v>
      </c>
      <c r="J449">
        <v>10.22714</v>
      </c>
      <c r="K449">
        <v>3</v>
      </c>
      <c r="L449">
        <v>210.7</v>
      </c>
      <c r="M449">
        <v>4642.2768781469513</v>
      </c>
      <c r="N449">
        <v>4</v>
      </c>
      <c r="O449">
        <v>210.7</v>
      </c>
    </row>
    <row r="450" spans="1:15" x14ac:dyDescent="0.25">
      <c r="A450">
        <v>130</v>
      </c>
      <c r="B450" t="s">
        <v>7</v>
      </c>
      <c r="C450" s="1">
        <v>33218</v>
      </c>
      <c r="D450" s="1" t="s">
        <v>52</v>
      </c>
      <c r="E450">
        <v>44.033050000000003</v>
      </c>
      <c r="F450">
        <v>10.50367</v>
      </c>
      <c r="G450" s="1">
        <v>33219</v>
      </c>
      <c r="H450" s="1" t="s">
        <v>47</v>
      </c>
      <c r="I450">
        <v>44.110500000000002</v>
      </c>
      <c r="J450">
        <v>10.41159</v>
      </c>
      <c r="K450">
        <v>24</v>
      </c>
      <c r="L450">
        <v>358.5</v>
      </c>
      <c r="M450">
        <v>4131.8694726962403</v>
      </c>
      <c r="N450">
        <v>1</v>
      </c>
      <c r="O450">
        <v>358.5</v>
      </c>
    </row>
    <row r="451" spans="1:15" x14ac:dyDescent="0.25">
      <c r="A451">
        <v>130</v>
      </c>
      <c r="B451" t="s">
        <v>7</v>
      </c>
      <c r="C451" s="1">
        <v>33220</v>
      </c>
      <c r="D451" s="1" t="s">
        <v>39</v>
      </c>
      <c r="E451">
        <v>43.894159999999999</v>
      </c>
      <c r="F451">
        <v>10.22714</v>
      </c>
      <c r="G451" s="1">
        <v>33221</v>
      </c>
      <c r="H451" s="1" t="s">
        <v>40</v>
      </c>
      <c r="I451">
        <v>43.956339999999997</v>
      </c>
      <c r="J451">
        <v>10.22996</v>
      </c>
      <c r="K451">
        <v>4</v>
      </c>
      <c r="L451">
        <v>162.42626254413031</v>
      </c>
      <c r="M451">
        <v>8098.4641664846285</v>
      </c>
      <c r="N451">
        <v>3</v>
      </c>
      <c r="O451">
        <v>114.6</v>
      </c>
    </row>
    <row r="452" spans="1:15" x14ac:dyDescent="0.25">
      <c r="A452">
        <v>130</v>
      </c>
      <c r="B452" t="s">
        <v>7</v>
      </c>
      <c r="C452" s="1">
        <v>4144</v>
      </c>
      <c r="D452" s="1" t="s">
        <v>38</v>
      </c>
      <c r="E452">
        <v>43.568049999999999</v>
      </c>
      <c r="F452">
        <v>11.529260000000001</v>
      </c>
      <c r="G452" s="1">
        <v>25421</v>
      </c>
      <c r="H452" s="1" t="s">
        <v>41</v>
      </c>
      <c r="I452">
        <v>43.619419999999998</v>
      </c>
      <c r="J452">
        <v>11.47508</v>
      </c>
      <c r="K452">
        <v>2</v>
      </c>
      <c r="L452">
        <v>82.6</v>
      </c>
      <c r="M452">
        <v>6691.1980343133819</v>
      </c>
      <c r="N452">
        <v>1</v>
      </c>
      <c r="O452">
        <v>82.6</v>
      </c>
    </row>
    <row r="453" spans="1:15" x14ac:dyDescent="0.25">
      <c r="A453">
        <v>130</v>
      </c>
      <c r="B453" t="s">
        <v>7</v>
      </c>
      <c r="C453" s="1">
        <v>4144</v>
      </c>
      <c r="D453" s="1" t="s">
        <v>38</v>
      </c>
      <c r="E453">
        <v>43.568049999999999</v>
      </c>
      <c r="F453">
        <v>11.529260000000001</v>
      </c>
      <c r="G453" s="1">
        <v>4142</v>
      </c>
      <c r="H453" s="1" t="s">
        <v>42</v>
      </c>
      <c r="I453">
        <v>43.529310000000002</v>
      </c>
      <c r="J453">
        <v>11.56737</v>
      </c>
      <c r="K453">
        <v>7</v>
      </c>
      <c r="L453">
        <v>244.6</v>
      </c>
      <c r="M453">
        <v>1458.30687271632</v>
      </c>
      <c r="N453">
        <v>1</v>
      </c>
      <c r="O453">
        <v>244.6</v>
      </c>
    </row>
    <row r="454" spans="1:15" x14ac:dyDescent="0.25">
      <c r="A454">
        <v>130</v>
      </c>
      <c r="B454" t="s">
        <v>7</v>
      </c>
      <c r="C454" s="1">
        <v>46445</v>
      </c>
      <c r="D454" s="1" t="s">
        <v>35</v>
      </c>
      <c r="E454">
        <v>43.10801</v>
      </c>
      <c r="F454">
        <v>12.377940000000001</v>
      </c>
      <c r="G454" s="1">
        <v>46468</v>
      </c>
      <c r="H454" s="1" t="s">
        <v>33</v>
      </c>
      <c r="I454">
        <v>43.116489999999999</v>
      </c>
      <c r="J454">
        <v>12.45126</v>
      </c>
      <c r="K454">
        <v>7</v>
      </c>
      <c r="L454">
        <v>369.4</v>
      </c>
      <c r="M454">
        <v>9381.7742144749918</v>
      </c>
      <c r="N454">
        <v>3</v>
      </c>
      <c r="O454">
        <v>369.4</v>
      </c>
    </row>
    <row r="455" spans="1:15" x14ac:dyDescent="0.25">
      <c r="A455">
        <v>130</v>
      </c>
      <c r="B455" t="s">
        <v>7</v>
      </c>
      <c r="C455" s="1">
        <v>46445</v>
      </c>
      <c r="D455" s="1" t="s">
        <v>35</v>
      </c>
      <c r="E455">
        <v>43.10801</v>
      </c>
      <c r="F455">
        <v>12.377940000000001</v>
      </c>
      <c r="G455" s="1">
        <v>46471</v>
      </c>
      <c r="H455" s="1" t="s">
        <v>34</v>
      </c>
      <c r="I455">
        <v>43.10031</v>
      </c>
      <c r="J455">
        <v>12.318519999999999</v>
      </c>
      <c r="K455">
        <v>14</v>
      </c>
      <c r="L455">
        <v>377</v>
      </c>
      <c r="M455">
        <v>5420.0405435956563</v>
      </c>
      <c r="N455">
        <v>3</v>
      </c>
      <c r="O455">
        <v>377</v>
      </c>
    </row>
    <row r="456" spans="1:15" x14ac:dyDescent="0.25">
      <c r="A456">
        <v>130</v>
      </c>
      <c r="B456" t="s">
        <v>7</v>
      </c>
      <c r="C456" s="1">
        <v>46471</v>
      </c>
      <c r="D456" s="1" t="s">
        <v>34</v>
      </c>
      <c r="E456">
        <v>43.10031</v>
      </c>
      <c r="F456">
        <v>12.318519999999999</v>
      </c>
      <c r="G456" s="1">
        <v>46445</v>
      </c>
      <c r="H456" s="1" t="s">
        <v>35</v>
      </c>
      <c r="I456">
        <v>43.10801</v>
      </c>
      <c r="J456">
        <v>12.377940000000001</v>
      </c>
      <c r="K456">
        <v>16</v>
      </c>
      <c r="L456">
        <v>678.88</v>
      </c>
      <c r="M456">
        <v>1701.35801816904</v>
      </c>
      <c r="N456">
        <v>1</v>
      </c>
      <c r="O456">
        <v>678.88</v>
      </c>
    </row>
    <row r="457" spans="1:15" x14ac:dyDescent="0.25">
      <c r="A457">
        <v>130</v>
      </c>
      <c r="B457" t="s">
        <v>7</v>
      </c>
      <c r="C457" s="1">
        <v>59131</v>
      </c>
      <c r="D457" s="1" t="s">
        <v>45</v>
      </c>
      <c r="E457">
        <v>43.331879999999998</v>
      </c>
      <c r="F457">
        <v>11.32122</v>
      </c>
      <c r="G457" s="1">
        <v>59157</v>
      </c>
      <c r="H457" s="1" t="s">
        <v>45</v>
      </c>
      <c r="I457">
        <v>43.29034</v>
      </c>
      <c r="J457">
        <v>11.33822</v>
      </c>
      <c r="K457">
        <v>20</v>
      </c>
      <c r="L457">
        <v>1303.42</v>
      </c>
      <c r="M457">
        <v>4.8610229090543999</v>
      </c>
      <c r="N457">
        <v>2</v>
      </c>
      <c r="O457">
        <v>1303.42</v>
      </c>
    </row>
    <row r="458" spans="1:15" x14ac:dyDescent="0.25">
      <c r="A458">
        <v>130</v>
      </c>
      <c r="B458" t="s">
        <v>7</v>
      </c>
      <c r="C458" s="1">
        <v>59157</v>
      </c>
      <c r="D458" s="1" t="s">
        <v>45</v>
      </c>
      <c r="E458">
        <v>43.29034</v>
      </c>
      <c r="F458">
        <v>11.33822</v>
      </c>
      <c r="G458" s="1">
        <v>59131</v>
      </c>
      <c r="H458" s="1" t="s">
        <v>45</v>
      </c>
      <c r="I458">
        <v>43.331879999999998</v>
      </c>
      <c r="J458">
        <v>11.32122</v>
      </c>
      <c r="K458">
        <v>10</v>
      </c>
      <c r="L458">
        <v>408.4</v>
      </c>
      <c r="M458">
        <v>2187.4603090744799</v>
      </c>
      <c r="N458">
        <v>1</v>
      </c>
      <c r="O458">
        <v>408.4</v>
      </c>
    </row>
    <row r="459" spans="1:15" x14ac:dyDescent="0.25">
      <c r="A459">
        <v>130</v>
      </c>
      <c r="B459" t="s">
        <v>7</v>
      </c>
      <c r="C459" s="1">
        <v>77343</v>
      </c>
      <c r="D459" s="1" t="s">
        <v>43</v>
      </c>
      <c r="E459">
        <v>42.812559999999998</v>
      </c>
      <c r="F459">
        <v>10.31758</v>
      </c>
      <c r="G459" s="1">
        <v>32095</v>
      </c>
      <c r="H459" s="1" t="s">
        <v>43</v>
      </c>
      <c r="I459">
        <v>42.810519999999997</v>
      </c>
      <c r="J459">
        <v>10.30799</v>
      </c>
      <c r="K459">
        <v>3</v>
      </c>
      <c r="L459">
        <v>273.7</v>
      </c>
      <c r="M459">
        <v>291.661374543264</v>
      </c>
      <c r="N459">
        <v>1</v>
      </c>
      <c r="O459">
        <v>273.7</v>
      </c>
    </row>
    <row r="460" spans="1:15" x14ac:dyDescent="0.25">
      <c r="A460">
        <v>130</v>
      </c>
      <c r="B460" t="s">
        <v>7</v>
      </c>
      <c r="C460" s="1">
        <v>85210</v>
      </c>
      <c r="D460" s="1" t="s">
        <v>49</v>
      </c>
      <c r="E460">
        <v>43.928640000000001</v>
      </c>
      <c r="F460">
        <v>10.9284</v>
      </c>
      <c r="G460" s="1">
        <v>77334</v>
      </c>
      <c r="H460" s="1" t="s">
        <v>49</v>
      </c>
      <c r="I460">
        <v>43.939680000000003</v>
      </c>
      <c r="J460">
        <v>10.943490000000001</v>
      </c>
      <c r="K460">
        <v>1</v>
      </c>
      <c r="L460">
        <v>37</v>
      </c>
      <c r="M460">
        <v>850.67900908451998</v>
      </c>
      <c r="N460">
        <v>1</v>
      </c>
      <c r="O460">
        <v>37</v>
      </c>
    </row>
    <row r="461" spans="1:15" x14ac:dyDescent="0.25">
      <c r="A461">
        <v>130</v>
      </c>
      <c r="B461" t="s">
        <v>7</v>
      </c>
      <c r="C461" s="1">
        <v>92197</v>
      </c>
      <c r="D461" s="1" t="s">
        <v>53</v>
      </c>
      <c r="E461">
        <v>42.570590000000003</v>
      </c>
      <c r="F461">
        <v>12.632300000000001</v>
      </c>
      <c r="G461" s="1">
        <v>92198</v>
      </c>
      <c r="H461" s="1" t="s">
        <v>48</v>
      </c>
      <c r="I461">
        <v>42.529159999999997</v>
      </c>
      <c r="J461">
        <v>12.51361</v>
      </c>
      <c r="K461">
        <v>25</v>
      </c>
      <c r="L461">
        <v>475</v>
      </c>
      <c r="M461">
        <v>7218.6190199457833</v>
      </c>
      <c r="N461">
        <v>2</v>
      </c>
      <c r="O461">
        <v>475</v>
      </c>
    </row>
    <row r="462" spans="1:15" x14ac:dyDescent="0.25">
      <c r="A462">
        <v>130</v>
      </c>
      <c r="B462" t="s">
        <v>8</v>
      </c>
      <c r="C462" s="1">
        <v>25290</v>
      </c>
      <c r="D462" s="1" t="s">
        <v>32</v>
      </c>
      <c r="E462">
        <v>43.81803</v>
      </c>
      <c r="F462">
        <v>11.211550000000001</v>
      </c>
      <c r="G462" s="1">
        <v>25239</v>
      </c>
      <c r="H462" s="1" t="s">
        <v>31</v>
      </c>
      <c r="I462">
        <v>43.77281</v>
      </c>
      <c r="J462">
        <v>11.29452</v>
      </c>
      <c r="K462">
        <v>130</v>
      </c>
      <c r="L462">
        <v>4987.1000000000004</v>
      </c>
      <c r="M462">
        <v>18228.835908953999</v>
      </c>
      <c r="N462">
        <v>5</v>
      </c>
      <c r="O462">
        <v>4987.1000000000004</v>
      </c>
    </row>
    <row r="463" spans="1:15" x14ac:dyDescent="0.25">
      <c r="A463">
        <v>130</v>
      </c>
      <c r="B463" t="s">
        <v>8</v>
      </c>
      <c r="C463" s="1">
        <v>25290</v>
      </c>
      <c r="D463" s="1" t="s">
        <v>32</v>
      </c>
      <c r="E463">
        <v>43.81803</v>
      </c>
      <c r="F463">
        <v>11.211550000000001</v>
      </c>
      <c r="G463" s="1">
        <v>25398</v>
      </c>
      <c r="H463" s="1" t="s">
        <v>31</v>
      </c>
      <c r="I463">
        <v>43.769460000000002</v>
      </c>
      <c r="J463">
        <v>11.19172</v>
      </c>
      <c r="K463">
        <v>35</v>
      </c>
      <c r="L463">
        <v>2019.72</v>
      </c>
      <c r="M463">
        <v>11182.78320227965</v>
      </c>
      <c r="N463">
        <v>4</v>
      </c>
      <c r="O463">
        <v>2019.72</v>
      </c>
    </row>
    <row r="464" spans="1:15" x14ac:dyDescent="0.25">
      <c r="A464">
        <v>130</v>
      </c>
      <c r="B464" t="s">
        <v>8</v>
      </c>
      <c r="C464" s="1">
        <v>25290</v>
      </c>
      <c r="D464" s="1" t="s">
        <v>32</v>
      </c>
      <c r="E464">
        <v>43.81803</v>
      </c>
      <c r="F464">
        <v>11.211550000000001</v>
      </c>
      <c r="G464" s="1">
        <v>25400</v>
      </c>
      <c r="H464" s="1" t="s">
        <v>31</v>
      </c>
      <c r="I464">
        <v>43.798690000000001</v>
      </c>
      <c r="J464">
        <v>11.20762</v>
      </c>
      <c r="K464">
        <v>73</v>
      </c>
      <c r="L464">
        <v>6189.96</v>
      </c>
      <c r="M464">
        <v>10086.622536287879</v>
      </c>
      <c r="N464">
        <v>7</v>
      </c>
      <c r="O464">
        <v>6189.96</v>
      </c>
    </row>
    <row r="465" spans="1:15" x14ac:dyDescent="0.25">
      <c r="A465">
        <v>130</v>
      </c>
      <c r="B465" t="s">
        <v>8</v>
      </c>
      <c r="C465" s="1">
        <v>25290</v>
      </c>
      <c r="D465" s="1" t="s">
        <v>32</v>
      </c>
      <c r="E465">
        <v>43.81803</v>
      </c>
      <c r="F465">
        <v>11.211550000000001</v>
      </c>
      <c r="G465" s="1">
        <v>25401</v>
      </c>
      <c r="H465" s="1" t="s">
        <v>36</v>
      </c>
      <c r="I465">
        <v>43.87838</v>
      </c>
      <c r="J465">
        <v>11.103210000000001</v>
      </c>
      <c r="K465">
        <v>155</v>
      </c>
      <c r="L465">
        <v>2791.3</v>
      </c>
      <c r="M465">
        <v>18690.63308531417</v>
      </c>
      <c r="N465">
        <v>5</v>
      </c>
      <c r="O465">
        <v>2791.3</v>
      </c>
    </row>
    <row r="466" spans="1:15" x14ac:dyDescent="0.25">
      <c r="A466">
        <v>130</v>
      </c>
      <c r="B466" t="s">
        <v>8</v>
      </c>
      <c r="C466" s="1">
        <v>25290</v>
      </c>
      <c r="D466" s="1" t="s">
        <v>32</v>
      </c>
      <c r="E466">
        <v>43.81803</v>
      </c>
      <c r="F466">
        <v>11.211550000000001</v>
      </c>
      <c r="G466" s="1">
        <v>25417</v>
      </c>
      <c r="H466" s="1" t="s">
        <v>37</v>
      </c>
      <c r="I466">
        <v>43.754040000000003</v>
      </c>
      <c r="J466">
        <v>11.32128</v>
      </c>
      <c r="K466">
        <v>64</v>
      </c>
      <c r="L466">
        <v>973.3</v>
      </c>
      <c r="M466">
        <v>14194.18689443885</v>
      </c>
      <c r="N466">
        <v>2</v>
      </c>
      <c r="O466">
        <v>973.3</v>
      </c>
    </row>
    <row r="467" spans="1:15" x14ac:dyDescent="0.25">
      <c r="A467">
        <v>130</v>
      </c>
      <c r="B467" t="s">
        <v>8</v>
      </c>
      <c r="C467" s="1">
        <v>25398</v>
      </c>
      <c r="D467" s="1" t="s">
        <v>31</v>
      </c>
      <c r="E467">
        <v>43.769460000000002</v>
      </c>
      <c r="F467">
        <v>11.19172</v>
      </c>
      <c r="G467" s="1">
        <v>25239</v>
      </c>
      <c r="H467" s="1" t="s">
        <v>31</v>
      </c>
      <c r="I467">
        <v>43.77281</v>
      </c>
      <c r="J467">
        <v>11.29452</v>
      </c>
      <c r="K467">
        <v>4</v>
      </c>
      <c r="L467">
        <v>134</v>
      </c>
      <c r="M467">
        <v>2916.6137454326399</v>
      </c>
      <c r="N467">
        <v>1</v>
      </c>
      <c r="O467">
        <v>134</v>
      </c>
    </row>
    <row r="468" spans="1:15" x14ac:dyDescent="0.25">
      <c r="A468">
        <v>130</v>
      </c>
      <c r="B468" t="s">
        <v>8</v>
      </c>
      <c r="C468" s="1">
        <v>25398</v>
      </c>
      <c r="D468" s="1" t="s">
        <v>31</v>
      </c>
      <c r="E468">
        <v>43.769460000000002</v>
      </c>
      <c r="F468">
        <v>11.19172</v>
      </c>
      <c r="G468" s="1">
        <v>25290</v>
      </c>
      <c r="H468" s="1" t="s">
        <v>32</v>
      </c>
      <c r="I468">
        <v>43.81803</v>
      </c>
      <c r="J468">
        <v>11.211550000000001</v>
      </c>
      <c r="K468">
        <v>44</v>
      </c>
      <c r="L468">
        <v>38</v>
      </c>
      <c r="M468">
        <v>4377.3511296034876</v>
      </c>
      <c r="N468">
        <v>1</v>
      </c>
      <c r="O468">
        <v>38</v>
      </c>
    </row>
    <row r="469" spans="1:15" x14ac:dyDescent="0.25">
      <c r="A469">
        <v>130</v>
      </c>
      <c r="B469" t="s">
        <v>8</v>
      </c>
      <c r="C469" s="1">
        <v>25400</v>
      </c>
      <c r="D469" s="1" t="s">
        <v>31</v>
      </c>
      <c r="E469">
        <v>43.798690000000001</v>
      </c>
      <c r="F469">
        <v>11.20762</v>
      </c>
      <c r="G469" s="1">
        <v>25290</v>
      </c>
      <c r="H469" s="1" t="s">
        <v>32</v>
      </c>
      <c r="I469">
        <v>43.81803</v>
      </c>
      <c r="J469">
        <v>11.211550000000001</v>
      </c>
      <c r="K469">
        <v>65</v>
      </c>
      <c r="L469">
        <v>159.91999999999999</v>
      </c>
      <c r="M469">
        <v>2673.5625999799199</v>
      </c>
      <c r="N469">
        <v>2</v>
      </c>
      <c r="O469">
        <v>159.91999999999999</v>
      </c>
    </row>
    <row r="470" spans="1:15" x14ac:dyDescent="0.25">
      <c r="A470">
        <v>130</v>
      </c>
      <c r="B470" t="s">
        <v>8</v>
      </c>
      <c r="C470" s="1">
        <v>25400</v>
      </c>
      <c r="D470" s="1" t="s">
        <v>31</v>
      </c>
      <c r="E470">
        <v>43.798690000000001</v>
      </c>
      <c r="F470">
        <v>11.20762</v>
      </c>
      <c r="G470" s="1">
        <v>25398</v>
      </c>
      <c r="H470" s="1" t="s">
        <v>31</v>
      </c>
      <c r="I470">
        <v>43.769460000000002</v>
      </c>
      <c r="J470">
        <v>11.19172</v>
      </c>
      <c r="K470">
        <v>13</v>
      </c>
      <c r="L470">
        <v>961.4</v>
      </c>
      <c r="M470">
        <v>2989.529089068456</v>
      </c>
      <c r="N470">
        <v>2</v>
      </c>
      <c r="O470">
        <v>961.4</v>
      </c>
    </row>
    <row r="471" spans="1:15" x14ac:dyDescent="0.25">
      <c r="A471">
        <v>130</v>
      </c>
      <c r="B471" t="s">
        <v>8</v>
      </c>
      <c r="C471" s="1">
        <v>25401</v>
      </c>
      <c r="D471" s="1" t="s">
        <v>36</v>
      </c>
      <c r="E471">
        <v>43.87838</v>
      </c>
      <c r="F471">
        <v>11.103210000000001</v>
      </c>
      <c r="G471" s="1">
        <v>25290</v>
      </c>
      <c r="H471" s="1" t="s">
        <v>32</v>
      </c>
      <c r="I471">
        <v>43.81803</v>
      </c>
      <c r="J471">
        <v>11.211550000000001</v>
      </c>
      <c r="K471">
        <v>78</v>
      </c>
      <c r="L471">
        <v>58.8</v>
      </c>
      <c r="M471">
        <v>3767.2927545171601</v>
      </c>
      <c r="N471">
        <v>1</v>
      </c>
      <c r="O471">
        <v>58.8</v>
      </c>
    </row>
    <row r="472" spans="1:15" x14ac:dyDescent="0.25">
      <c r="A472">
        <v>130</v>
      </c>
      <c r="B472" t="s">
        <v>8</v>
      </c>
      <c r="C472" s="1">
        <v>25401</v>
      </c>
      <c r="D472" s="1" t="s">
        <v>36</v>
      </c>
      <c r="E472">
        <v>43.87838</v>
      </c>
      <c r="F472">
        <v>11.103210000000001</v>
      </c>
      <c r="G472" s="1">
        <v>25433</v>
      </c>
      <c r="H472" s="1" t="s">
        <v>44</v>
      </c>
      <c r="I472">
        <v>43.923850000000002</v>
      </c>
      <c r="J472">
        <v>11.03511</v>
      </c>
      <c r="K472">
        <v>18</v>
      </c>
      <c r="L472">
        <v>792</v>
      </c>
      <c r="M472">
        <v>2916.6137454326399</v>
      </c>
      <c r="N472">
        <v>1</v>
      </c>
      <c r="O472">
        <v>792</v>
      </c>
    </row>
    <row r="473" spans="1:15" x14ac:dyDescent="0.25">
      <c r="A473">
        <v>130</v>
      </c>
      <c r="B473" t="s">
        <v>8</v>
      </c>
      <c r="C473" s="1">
        <v>25421</v>
      </c>
      <c r="D473" s="1" t="s">
        <v>41</v>
      </c>
      <c r="E473">
        <v>43.619419999999998</v>
      </c>
      <c r="F473">
        <v>11.47508</v>
      </c>
      <c r="G473" s="1">
        <v>4142</v>
      </c>
      <c r="H473" s="1" t="s">
        <v>42</v>
      </c>
      <c r="I473">
        <v>43.529310000000002</v>
      </c>
      <c r="J473">
        <v>11.56737</v>
      </c>
      <c r="K473">
        <v>14</v>
      </c>
      <c r="L473">
        <v>86.4</v>
      </c>
      <c r="M473">
        <v>3645.7671817907999</v>
      </c>
      <c r="N473">
        <v>1</v>
      </c>
      <c r="O473">
        <v>86.4</v>
      </c>
    </row>
    <row r="474" spans="1:15" x14ac:dyDescent="0.25">
      <c r="A474">
        <v>130</v>
      </c>
      <c r="B474" t="s">
        <v>8</v>
      </c>
      <c r="C474" s="1">
        <v>25421</v>
      </c>
      <c r="D474" s="1" t="s">
        <v>41</v>
      </c>
      <c r="E474">
        <v>43.619419999999998</v>
      </c>
      <c r="F474">
        <v>11.47508</v>
      </c>
      <c r="G474" s="1">
        <v>4144</v>
      </c>
      <c r="H474" s="1" t="s">
        <v>38</v>
      </c>
      <c r="I474">
        <v>43.568049999999999</v>
      </c>
      <c r="J474">
        <v>11.529260000000001</v>
      </c>
      <c r="K474">
        <v>5</v>
      </c>
      <c r="L474">
        <v>194.4</v>
      </c>
      <c r="M474">
        <v>2187.4603090744799</v>
      </c>
      <c r="N474">
        <v>1</v>
      </c>
      <c r="O474">
        <v>194.4</v>
      </c>
    </row>
    <row r="475" spans="1:15" x14ac:dyDescent="0.25">
      <c r="A475">
        <v>130</v>
      </c>
      <c r="B475" t="s">
        <v>8</v>
      </c>
      <c r="C475" s="1">
        <v>32094</v>
      </c>
      <c r="D475" s="1" t="s">
        <v>54</v>
      </c>
      <c r="E475">
        <v>43.304879999999997</v>
      </c>
      <c r="F475">
        <v>10.5182</v>
      </c>
      <c r="G475" s="1">
        <v>32098</v>
      </c>
      <c r="H475" s="1" t="s">
        <v>50</v>
      </c>
      <c r="I475">
        <v>43.393940000000001</v>
      </c>
      <c r="J475">
        <v>10.43547</v>
      </c>
      <c r="K475">
        <v>7</v>
      </c>
      <c r="L475">
        <v>70.8</v>
      </c>
      <c r="M475">
        <v>2189.8908205290072</v>
      </c>
      <c r="N475">
        <v>1</v>
      </c>
      <c r="O475">
        <v>70.8</v>
      </c>
    </row>
    <row r="476" spans="1:15" x14ac:dyDescent="0.25">
      <c r="A476">
        <v>130</v>
      </c>
      <c r="B476" t="s">
        <v>8</v>
      </c>
      <c r="C476" s="1">
        <v>33212</v>
      </c>
      <c r="D476" s="1" t="s">
        <v>46</v>
      </c>
      <c r="E476">
        <v>43.844110000000001</v>
      </c>
      <c r="F476">
        <v>10.525460000000001</v>
      </c>
      <c r="G476" s="1">
        <v>77150</v>
      </c>
      <c r="H476" s="1" t="s">
        <v>46</v>
      </c>
      <c r="I476">
        <v>43.860230000000001</v>
      </c>
      <c r="J476">
        <v>10.51596</v>
      </c>
      <c r="K476">
        <v>2</v>
      </c>
      <c r="L476">
        <v>153</v>
      </c>
      <c r="M476">
        <v>1069.4250399919681</v>
      </c>
      <c r="N476">
        <v>1</v>
      </c>
      <c r="O476">
        <v>153</v>
      </c>
    </row>
    <row r="477" spans="1:15" x14ac:dyDescent="0.25">
      <c r="A477">
        <v>130</v>
      </c>
      <c r="B477" t="s">
        <v>8</v>
      </c>
      <c r="C477" s="1">
        <v>33214</v>
      </c>
      <c r="D477" s="1" t="s">
        <v>51</v>
      </c>
      <c r="E477">
        <v>43.868270000000003</v>
      </c>
      <c r="F477">
        <v>10.252879999999999</v>
      </c>
      <c r="G477" s="1">
        <v>33220</v>
      </c>
      <c r="H477" s="1" t="s">
        <v>39</v>
      </c>
      <c r="I477">
        <v>43.894159999999999</v>
      </c>
      <c r="J477">
        <v>10.22714</v>
      </c>
      <c r="K477">
        <v>3</v>
      </c>
      <c r="L477">
        <v>210.7</v>
      </c>
      <c r="M477">
        <v>4642.2768781469513</v>
      </c>
      <c r="N477">
        <v>4</v>
      </c>
      <c r="O477">
        <v>210.7</v>
      </c>
    </row>
    <row r="478" spans="1:15" x14ac:dyDescent="0.25">
      <c r="A478">
        <v>130</v>
      </c>
      <c r="B478" t="s">
        <v>8</v>
      </c>
      <c r="C478" s="1">
        <v>33218</v>
      </c>
      <c r="D478" s="1" t="s">
        <v>52</v>
      </c>
      <c r="E478">
        <v>44.033050000000003</v>
      </c>
      <c r="F478">
        <v>10.50367</v>
      </c>
      <c r="G478" s="1">
        <v>33219</v>
      </c>
      <c r="H478" s="1" t="s">
        <v>47</v>
      </c>
      <c r="I478">
        <v>44.110500000000002</v>
      </c>
      <c r="J478">
        <v>10.41159</v>
      </c>
      <c r="K478">
        <v>24</v>
      </c>
      <c r="L478">
        <v>358.49999999999989</v>
      </c>
      <c r="M478">
        <v>4131.8694726962403</v>
      </c>
      <c r="N478">
        <v>1</v>
      </c>
      <c r="O478">
        <v>358.5</v>
      </c>
    </row>
    <row r="479" spans="1:15" x14ac:dyDescent="0.25">
      <c r="A479">
        <v>130</v>
      </c>
      <c r="B479" t="s">
        <v>8</v>
      </c>
      <c r="C479" s="1">
        <v>33220</v>
      </c>
      <c r="D479" s="1" t="s">
        <v>39</v>
      </c>
      <c r="E479">
        <v>43.894159999999999</v>
      </c>
      <c r="F479">
        <v>10.22714</v>
      </c>
      <c r="G479" s="1">
        <v>33221</v>
      </c>
      <c r="H479" s="1" t="s">
        <v>40</v>
      </c>
      <c r="I479">
        <v>43.956339999999997</v>
      </c>
      <c r="J479">
        <v>10.22996</v>
      </c>
      <c r="K479">
        <v>5</v>
      </c>
      <c r="L479">
        <v>168.3</v>
      </c>
      <c r="M479">
        <v>10164.398902832751</v>
      </c>
      <c r="N479">
        <v>4</v>
      </c>
      <c r="O479">
        <v>168.3</v>
      </c>
    </row>
    <row r="480" spans="1:15" x14ac:dyDescent="0.25">
      <c r="A480">
        <v>130</v>
      </c>
      <c r="B480" t="s">
        <v>8</v>
      </c>
      <c r="C480" s="1">
        <v>4144</v>
      </c>
      <c r="D480" s="1" t="s">
        <v>38</v>
      </c>
      <c r="E480">
        <v>43.568049999999999</v>
      </c>
      <c r="F480">
        <v>11.529260000000001</v>
      </c>
      <c r="G480" s="1">
        <v>25421</v>
      </c>
      <c r="H480" s="1" t="s">
        <v>41</v>
      </c>
      <c r="I480">
        <v>43.619419999999998</v>
      </c>
      <c r="J480">
        <v>11.47508</v>
      </c>
      <c r="K480">
        <v>2</v>
      </c>
      <c r="L480">
        <v>82.6</v>
      </c>
      <c r="M480">
        <v>6691.1980343133819</v>
      </c>
      <c r="N480">
        <v>1</v>
      </c>
      <c r="O480">
        <v>82.6</v>
      </c>
    </row>
    <row r="481" spans="1:15" x14ac:dyDescent="0.25">
      <c r="A481">
        <v>130</v>
      </c>
      <c r="B481" t="s">
        <v>8</v>
      </c>
      <c r="C481" s="1">
        <v>4144</v>
      </c>
      <c r="D481" s="1" t="s">
        <v>38</v>
      </c>
      <c r="E481">
        <v>43.568049999999999</v>
      </c>
      <c r="F481">
        <v>11.529260000000001</v>
      </c>
      <c r="G481" s="1">
        <v>4142</v>
      </c>
      <c r="H481" s="1" t="s">
        <v>42</v>
      </c>
      <c r="I481">
        <v>43.529310000000002</v>
      </c>
      <c r="J481">
        <v>11.56737</v>
      </c>
      <c r="K481">
        <v>4</v>
      </c>
      <c r="L481">
        <v>244.6</v>
      </c>
      <c r="M481">
        <v>1458.30687271632</v>
      </c>
      <c r="N481">
        <v>1</v>
      </c>
      <c r="O481">
        <v>244.6</v>
      </c>
    </row>
    <row r="482" spans="1:15" x14ac:dyDescent="0.25">
      <c r="A482">
        <v>130</v>
      </c>
      <c r="B482" t="s">
        <v>8</v>
      </c>
      <c r="C482" s="1">
        <v>46445</v>
      </c>
      <c r="D482" s="1" t="s">
        <v>35</v>
      </c>
      <c r="E482">
        <v>43.10801</v>
      </c>
      <c r="F482">
        <v>12.377940000000001</v>
      </c>
      <c r="G482" s="1">
        <v>46468</v>
      </c>
      <c r="H482" s="1" t="s">
        <v>33</v>
      </c>
      <c r="I482">
        <v>43.116489999999999</v>
      </c>
      <c r="J482">
        <v>12.45126</v>
      </c>
      <c r="K482">
        <v>7</v>
      </c>
      <c r="L482">
        <v>369.4</v>
      </c>
      <c r="M482">
        <v>9381.7742144749918</v>
      </c>
      <c r="N482">
        <v>3</v>
      </c>
      <c r="O482">
        <v>369.4</v>
      </c>
    </row>
    <row r="483" spans="1:15" x14ac:dyDescent="0.25">
      <c r="A483">
        <v>130</v>
      </c>
      <c r="B483" t="s">
        <v>8</v>
      </c>
      <c r="C483" s="1">
        <v>46445</v>
      </c>
      <c r="D483" s="1" t="s">
        <v>35</v>
      </c>
      <c r="E483">
        <v>43.10801</v>
      </c>
      <c r="F483">
        <v>12.377940000000001</v>
      </c>
      <c r="G483" s="1">
        <v>46471</v>
      </c>
      <c r="H483" s="1" t="s">
        <v>34</v>
      </c>
      <c r="I483">
        <v>43.10031</v>
      </c>
      <c r="J483">
        <v>12.318519999999999</v>
      </c>
      <c r="K483">
        <v>11</v>
      </c>
      <c r="L483">
        <v>377</v>
      </c>
      <c r="M483">
        <v>5420.0405435956563</v>
      </c>
      <c r="N483">
        <v>3</v>
      </c>
      <c r="O483">
        <v>377</v>
      </c>
    </row>
    <row r="484" spans="1:15" x14ac:dyDescent="0.25">
      <c r="A484">
        <v>130</v>
      </c>
      <c r="B484" t="s">
        <v>8</v>
      </c>
      <c r="C484" s="1">
        <v>46471</v>
      </c>
      <c r="D484" s="1" t="s">
        <v>34</v>
      </c>
      <c r="E484">
        <v>43.10031</v>
      </c>
      <c r="F484">
        <v>12.318519999999999</v>
      </c>
      <c r="G484" s="1">
        <v>46445</v>
      </c>
      <c r="H484" s="1" t="s">
        <v>35</v>
      </c>
      <c r="I484">
        <v>43.10801</v>
      </c>
      <c r="J484">
        <v>12.377940000000001</v>
      </c>
      <c r="K484">
        <v>11</v>
      </c>
      <c r="L484">
        <v>678.88</v>
      </c>
      <c r="M484">
        <v>1701.35801816904</v>
      </c>
      <c r="N484">
        <v>1</v>
      </c>
      <c r="O484">
        <v>678.88</v>
      </c>
    </row>
    <row r="485" spans="1:15" x14ac:dyDescent="0.25">
      <c r="A485">
        <v>130</v>
      </c>
      <c r="B485" t="s">
        <v>8</v>
      </c>
      <c r="C485" s="1">
        <v>59131</v>
      </c>
      <c r="D485" s="1" t="s">
        <v>45</v>
      </c>
      <c r="E485">
        <v>43.331879999999998</v>
      </c>
      <c r="F485">
        <v>11.32122</v>
      </c>
      <c r="G485" s="1">
        <v>59157</v>
      </c>
      <c r="H485" s="1" t="s">
        <v>45</v>
      </c>
      <c r="I485">
        <v>43.29034</v>
      </c>
      <c r="J485">
        <v>11.33822</v>
      </c>
      <c r="K485">
        <v>21</v>
      </c>
      <c r="L485">
        <v>1303.42</v>
      </c>
      <c r="M485">
        <v>4.8610229090543999</v>
      </c>
      <c r="N485">
        <v>2</v>
      </c>
      <c r="O485">
        <v>1303.42</v>
      </c>
    </row>
    <row r="486" spans="1:15" x14ac:dyDescent="0.25">
      <c r="A486">
        <v>130</v>
      </c>
      <c r="B486" t="s">
        <v>8</v>
      </c>
      <c r="C486" s="1">
        <v>59157</v>
      </c>
      <c r="D486" s="1" t="s">
        <v>45</v>
      </c>
      <c r="E486">
        <v>43.29034</v>
      </c>
      <c r="F486">
        <v>11.33822</v>
      </c>
      <c r="G486" s="1">
        <v>59131</v>
      </c>
      <c r="H486" s="1" t="s">
        <v>45</v>
      </c>
      <c r="I486">
        <v>43.331879999999998</v>
      </c>
      <c r="J486">
        <v>11.32122</v>
      </c>
      <c r="K486">
        <v>7</v>
      </c>
      <c r="L486">
        <v>408.4</v>
      </c>
      <c r="M486">
        <v>2187.4603090744799</v>
      </c>
      <c r="N486">
        <v>1</v>
      </c>
      <c r="O486">
        <v>408.4</v>
      </c>
    </row>
    <row r="487" spans="1:15" x14ac:dyDescent="0.25">
      <c r="A487">
        <v>130</v>
      </c>
      <c r="B487" t="s">
        <v>8</v>
      </c>
      <c r="C487" s="1">
        <v>77343</v>
      </c>
      <c r="D487" s="1" t="s">
        <v>43</v>
      </c>
      <c r="E487">
        <v>42.812559999999998</v>
      </c>
      <c r="F487">
        <v>10.31758</v>
      </c>
      <c r="G487" s="1">
        <v>32095</v>
      </c>
      <c r="H487" s="1" t="s">
        <v>43</v>
      </c>
      <c r="I487">
        <v>42.810519999999997</v>
      </c>
      <c r="J487">
        <v>10.30799</v>
      </c>
      <c r="K487">
        <v>3</v>
      </c>
      <c r="L487">
        <v>273.7</v>
      </c>
      <c r="M487">
        <v>291.661374543264</v>
      </c>
      <c r="N487">
        <v>1</v>
      </c>
      <c r="O487">
        <v>273.7</v>
      </c>
    </row>
    <row r="488" spans="1:15" x14ac:dyDescent="0.25">
      <c r="A488">
        <v>130</v>
      </c>
      <c r="B488" t="s">
        <v>8</v>
      </c>
      <c r="C488" s="1">
        <v>85210</v>
      </c>
      <c r="D488" s="1" t="s">
        <v>49</v>
      </c>
      <c r="E488">
        <v>43.928640000000001</v>
      </c>
      <c r="F488">
        <v>10.9284</v>
      </c>
      <c r="G488" s="1">
        <v>77334</v>
      </c>
      <c r="H488" s="1" t="s">
        <v>49</v>
      </c>
      <c r="I488">
        <v>43.939680000000003</v>
      </c>
      <c r="J488">
        <v>10.943490000000001</v>
      </c>
      <c r="K488">
        <v>1</v>
      </c>
      <c r="L488">
        <v>37</v>
      </c>
      <c r="M488">
        <v>850.67900908451998</v>
      </c>
      <c r="N488">
        <v>1</v>
      </c>
      <c r="O488">
        <v>37</v>
      </c>
    </row>
    <row r="489" spans="1:15" x14ac:dyDescent="0.25">
      <c r="A489">
        <v>130</v>
      </c>
      <c r="B489" t="s">
        <v>8</v>
      </c>
      <c r="C489" s="1">
        <v>92197</v>
      </c>
      <c r="D489" s="1" t="s">
        <v>53</v>
      </c>
      <c r="E489">
        <v>42.570590000000003</v>
      </c>
      <c r="F489">
        <v>12.632300000000001</v>
      </c>
      <c r="G489" s="1">
        <v>92198</v>
      </c>
      <c r="H489" s="1" t="s">
        <v>48</v>
      </c>
      <c r="I489">
        <v>42.529159999999997</v>
      </c>
      <c r="J489">
        <v>12.51361</v>
      </c>
      <c r="K489">
        <v>25</v>
      </c>
      <c r="L489">
        <v>475</v>
      </c>
      <c r="M489">
        <v>7218.6190199457833</v>
      </c>
      <c r="N489">
        <v>2</v>
      </c>
      <c r="O489">
        <v>475</v>
      </c>
    </row>
    <row r="490" spans="1:15" x14ac:dyDescent="0.25">
      <c r="A490">
        <v>130</v>
      </c>
      <c r="B490" t="s">
        <v>9</v>
      </c>
      <c r="C490" s="1">
        <v>25290</v>
      </c>
      <c r="D490" s="1" t="s">
        <v>32</v>
      </c>
      <c r="E490">
        <v>43.81803</v>
      </c>
      <c r="F490">
        <v>11.211550000000001</v>
      </c>
      <c r="G490" s="1">
        <v>25239</v>
      </c>
      <c r="H490" s="1" t="s">
        <v>31</v>
      </c>
      <c r="I490">
        <v>43.77281</v>
      </c>
      <c r="J490">
        <v>11.29452</v>
      </c>
      <c r="K490">
        <v>130</v>
      </c>
      <c r="L490">
        <v>4987.1000000000004</v>
      </c>
      <c r="M490">
        <v>18228.835908953999</v>
      </c>
      <c r="N490">
        <v>5</v>
      </c>
      <c r="O490">
        <v>4987.1000000000004</v>
      </c>
    </row>
    <row r="491" spans="1:15" x14ac:dyDescent="0.25">
      <c r="A491">
        <v>130</v>
      </c>
      <c r="B491" t="s">
        <v>9</v>
      </c>
      <c r="C491" s="1">
        <v>25290</v>
      </c>
      <c r="D491" s="1" t="s">
        <v>32</v>
      </c>
      <c r="E491">
        <v>43.81803</v>
      </c>
      <c r="F491">
        <v>11.211550000000001</v>
      </c>
      <c r="G491" s="1">
        <v>25398</v>
      </c>
      <c r="H491" s="1" t="s">
        <v>31</v>
      </c>
      <c r="I491">
        <v>43.769460000000002</v>
      </c>
      <c r="J491">
        <v>11.19172</v>
      </c>
      <c r="K491">
        <v>35</v>
      </c>
      <c r="L491">
        <v>2019.72</v>
      </c>
      <c r="M491">
        <v>11182.78320227965</v>
      </c>
      <c r="N491">
        <v>4</v>
      </c>
      <c r="O491">
        <v>2019.72</v>
      </c>
    </row>
    <row r="492" spans="1:15" x14ac:dyDescent="0.25">
      <c r="A492">
        <v>130</v>
      </c>
      <c r="B492" t="s">
        <v>9</v>
      </c>
      <c r="C492" s="1">
        <v>25290</v>
      </c>
      <c r="D492" s="1" t="s">
        <v>32</v>
      </c>
      <c r="E492">
        <v>43.81803</v>
      </c>
      <c r="F492">
        <v>11.211550000000001</v>
      </c>
      <c r="G492" s="1">
        <v>25400</v>
      </c>
      <c r="H492" s="1" t="s">
        <v>31</v>
      </c>
      <c r="I492">
        <v>43.798690000000001</v>
      </c>
      <c r="J492">
        <v>11.20762</v>
      </c>
      <c r="K492">
        <v>73</v>
      </c>
      <c r="L492">
        <v>6189.96</v>
      </c>
      <c r="M492">
        <v>10086.622536287879</v>
      </c>
      <c r="N492">
        <v>7</v>
      </c>
      <c r="O492">
        <v>6189.96</v>
      </c>
    </row>
    <row r="493" spans="1:15" x14ac:dyDescent="0.25">
      <c r="A493">
        <v>130</v>
      </c>
      <c r="B493" t="s">
        <v>9</v>
      </c>
      <c r="C493" s="1">
        <v>25290</v>
      </c>
      <c r="D493" s="1" t="s">
        <v>32</v>
      </c>
      <c r="E493">
        <v>43.81803</v>
      </c>
      <c r="F493">
        <v>11.211550000000001</v>
      </c>
      <c r="G493" s="1">
        <v>25401</v>
      </c>
      <c r="H493" s="1" t="s">
        <v>36</v>
      </c>
      <c r="I493">
        <v>43.87838</v>
      </c>
      <c r="J493">
        <v>11.103210000000001</v>
      </c>
      <c r="K493">
        <v>155</v>
      </c>
      <c r="L493">
        <v>2791.3</v>
      </c>
      <c r="M493">
        <v>18690.63308531417</v>
      </c>
      <c r="N493">
        <v>5</v>
      </c>
      <c r="O493">
        <v>2791.3</v>
      </c>
    </row>
    <row r="494" spans="1:15" x14ac:dyDescent="0.25">
      <c r="A494">
        <v>130</v>
      </c>
      <c r="B494" t="s">
        <v>9</v>
      </c>
      <c r="C494" s="1">
        <v>25290</v>
      </c>
      <c r="D494" s="1" t="s">
        <v>32</v>
      </c>
      <c r="E494">
        <v>43.81803</v>
      </c>
      <c r="F494">
        <v>11.211550000000001</v>
      </c>
      <c r="G494" s="1">
        <v>25417</v>
      </c>
      <c r="H494" s="1" t="s">
        <v>37</v>
      </c>
      <c r="I494">
        <v>43.754040000000003</v>
      </c>
      <c r="J494">
        <v>11.32128</v>
      </c>
      <c r="K494">
        <v>64</v>
      </c>
      <c r="L494">
        <v>973.3</v>
      </c>
      <c r="M494">
        <v>14194.18689443885</v>
      </c>
      <c r="N494">
        <v>2</v>
      </c>
      <c r="O494">
        <v>973.3</v>
      </c>
    </row>
    <row r="495" spans="1:15" x14ac:dyDescent="0.25">
      <c r="A495">
        <v>130</v>
      </c>
      <c r="B495" t="s">
        <v>9</v>
      </c>
      <c r="C495" s="1">
        <v>25398</v>
      </c>
      <c r="D495" s="1" t="s">
        <v>31</v>
      </c>
      <c r="E495">
        <v>43.769460000000002</v>
      </c>
      <c r="F495">
        <v>11.19172</v>
      </c>
      <c r="G495" s="1">
        <v>25239</v>
      </c>
      <c r="H495" s="1" t="s">
        <v>31</v>
      </c>
      <c r="I495">
        <v>43.77281</v>
      </c>
      <c r="J495">
        <v>11.29452</v>
      </c>
      <c r="K495">
        <v>4</v>
      </c>
      <c r="L495">
        <v>134</v>
      </c>
      <c r="M495">
        <v>2916.6137454326399</v>
      </c>
      <c r="N495">
        <v>1</v>
      </c>
      <c r="O495">
        <v>134</v>
      </c>
    </row>
    <row r="496" spans="1:15" x14ac:dyDescent="0.25">
      <c r="A496">
        <v>130</v>
      </c>
      <c r="B496" t="s">
        <v>9</v>
      </c>
      <c r="C496" s="1">
        <v>25398</v>
      </c>
      <c r="D496" s="1" t="s">
        <v>31</v>
      </c>
      <c r="E496">
        <v>43.769460000000002</v>
      </c>
      <c r="F496">
        <v>11.19172</v>
      </c>
      <c r="G496" s="1">
        <v>25290</v>
      </c>
      <c r="H496" s="1" t="s">
        <v>32</v>
      </c>
      <c r="I496">
        <v>43.81803</v>
      </c>
      <c r="J496">
        <v>11.211550000000001</v>
      </c>
      <c r="K496">
        <v>44</v>
      </c>
      <c r="L496">
        <v>38</v>
      </c>
      <c r="M496">
        <v>4377.3511296034876</v>
      </c>
      <c r="N496">
        <v>1</v>
      </c>
      <c r="O496">
        <v>38</v>
      </c>
    </row>
    <row r="497" spans="1:15" x14ac:dyDescent="0.25">
      <c r="A497">
        <v>130</v>
      </c>
      <c r="B497" t="s">
        <v>9</v>
      </c>
      <c r="C497" s="1">
        <v>25400</v>
      </c>
      <c r="D497" s="1" t="s">
        <v>31</v>
      </c>
      <c r="E497">
        <v>43.798690000000001</v>
      </c>
      <c r="F497">
        <v>11.20762</v>
      </c>
      <c r="G497" s="1">
        <v>25290</v>
      </c>
      <c r="H497" s="1" t="s">
        <v>32</v>
      </c>
      <c r="I497">
        <v>43.81803</v>
      </c>
      <c r="J497">
        <v>11.211550000000001</v>
      </c>
      <c r="K497">
        <v>65</v>
      </c>
      <c r="L497">
        <v>159.91999999999999</v>
      </c>
      <c r="M497">
        <v>2673.5625999799199</v>
      </c>
      <c r="N497">
        <v>2</v>
      </c>
      <c r="O497">
        <v>159.91999999999999</v>
      </c>
    </row>
    <row r="498" spans="1:15" x14ac:dyDescent="0.25">
      <c r="A498">
        <v>130</v>
      </c>
      <c r="B498" t="s">
        <v>9</v>
      </c>
      <c r="C498" s="1">
        <v>25400</v>
      </c>
      <c r="D498" s="1" t="s">
        <v>31</v>
      </c>
      <c r="E498">
        <v>43.798690000000001</v>
      </c>
      <c r="F498">
        <v>11.20762</v>
      </c>
      <c r="G498" s="1">
        <v>25398</v>
      </c>
      <c r="H498" s="1" t="s">
        <v>31</v>
      </c>
      <c r="I498">
        <v>43.769460000000002</v>
      </c>
      <c r="J498">
        <v>11.19172</v>
      </c>
      <c r="K498">
        <v>13</v>
      </c>
      <c r="L498">
        <v>961.4</v>
      </c>
      <c r="M498">
        <v>2989.529089068456</v>
      </c>
      <c r="N498">
        <v>2</v>
      </c>
      <c r="O498">
        <v>961.4</v>
      </c>
    </row>
    <row r="499" spans="1:15" x14ac:dyDescent="0.25">
      <c r="A499">
        <v>130</v>
      </c>
      <c r="B499" t="s">
        <v>9</v>
      </c>
      <c r="C499" s="1">
        <v>25401</v>
      </c>
      <c r="D499" s="1" t="s">
        <v>36</v>
      </c>
      <c r="E499">
        <v>43.87838</v>
      </c>
      <c r="F499">
        <v>11.103210000000001</v>
      </c>
      <c r="G499" s="1">
        <v>25290</v>
      </c>
      <c r="H499" s="1" t="s">
        <v>32</v>
      </c>
      <c r="I499">
        <v>43.81803</v>
      </c>
      <c r="J499">
        <v>11.211550000000001</v>
      </c>
      <c r="K499">
        <v>78</v>
      </c>
      <c r="L499">
        <v>58.8</v>
      </c>
      <c r="M499">
        <v>3767.2927545171601</v>
      </c>
      <c r="N499">
        <v>1</v>
      </c>
      <c r="O499">
        <v>58.8</v>
      </c>
    </row>
    <row r="500" spans="1:15" x14ac:dyDescent="0.25">
      <c r="A500">
        <v>130</v>
      </c>
      <c r="B500" t="s">
        <v>9</v>
      </c>
      <c r="C500" s="1">
        <v>25401</v>
      </c>
      <c r="D500" s="1" t="s">
        <v>36</v>
      </c>
      <c r="E500">
        <v>43.87838</v>
      </c>
      <c r="F500">
        <v>11.103210000000001</v>
      </c>
      <c r="G500" s="1">
        <v>25433</v>
      </c>
      <c r="H500" s="1" t="s">
        <v>44</v>
      </c>
      <c r="I500">
        <v>43.923850000000002</v>
      </c>
      <c r="J500">
        <v>11.03511</v>
      </c>
      <c r="K500">
        <v>18</v>
      </c>
      <c r="L500">
        <v>792</v>
      </c>
      <c r="M500">
        <v>2916.6137454326399</v>
      </c>
      <c r="N500">
        <v>1</v>
      </c>
      <c r="O500">
        <v>792</v>
      </c>
    </row>
    <row r="501" spans="1:15" x14ac:dyDescent="0.25">
      <c r="A501">
        <v>130</v>
      </c>
      <c r="B501" t="s">
        <v>9</v>
      </c>
      <c r="C501" s="1">
        <v>25421</v>
      </c>
      <c r="D501" s="1" t="s">
        <v>41</v>
      </c>
      <c r="E501">
        <v>43.619419999999998</v>
      </c>
      <c r="F501">
        <v>11.47508</v>
      </c>
      <c r="G501" s="1">
        <v>4142</v>
      </c>
      <c r="H501" s="1" t="s">
        <v>42</v>
      </c>
      <c r="I501">
        <v>43.529310000000002</v>
      </c>
      <c r="J501">
        <v>11.56737</v>
      </c>
      <c r="K501">
        <v>14</v>
      </c>
      <c r="L501">
        <v>86.4</v>
      </c>
      <c r="M501">
        <v>3645.7671817907999</v>
      </c>
      <c r="N501">
        <v>1</v>
      </c>
      <c r="O501">
        <v>86.4</v>
      </c>
    </row>
    <row r="502" spans="1:15" x14ac:dyDescent="0.25">
      <c r="A502">
        <v>130</v>
      </c>
      <c r="B502" t="s">
        <v>9</v>
      </c>
      <c r="C502" s="1">
        <v>25421</v>
      </c>
      <c r="D502" s="1" t="s">
        <v>41</v>
      </c>
      <c r="E502">
        <v>43.619419999999998</v>
      </c>
      <c r="F502">
        <v>11.47508</v>
      </c>
      <c r="G502" s="1">
        <v>4144</v>
      </c>
      <c r="H502" s="1" t="s">
        <v>38</v>
      </c>
      <c r="I502">
        <v>43.568049999999999</v>
      </c>
      <c r="J502">
        <v>11.529260000000001</v>
      </c>
      <c r="K502">
        <v>5</v>
      </c>
      <c r="L502">
        <v>194.4</v>
      </c>
      <c r="M502">
        <v>2187.4603090744799</v>
      </c>
      <c r="N502">
        <v>1</v>
      </c>
      <c r="O502">
        <v>194.4</v>
      </c>
    </row>
    <row r="503" spans="1:15" x14ac:dyDescent="0.25">
      <c r="A503">
        <v>130</v>
      </c>
      <c r="B503" t="s">
        <v>9</v>
      </c>
      <c r="C503" s="1">
        <v>32094</v>
      </c>
      <c r="D503" s="1" t="s">
        <v>54</v>
      </c>
      <c r="E503">
        <v>43.304879999999997</v>
      </c>
      <c r="F503">
        <v>10.5182</v>
      </c>
      <c r="G503" s="1">
        <v>32098</v>
      </c>
      <c r="H503" s="1" t="s">
        <v>50</v>
      </c>
      <c r="I503">
        <v>43.393940000000001</v>
      </c>
      <c r="J503">
        <v>10.43547</v>
      </c>
      <c r="K503">
        <v>7</v>
      </c>
      <c r="L503">
        <v>70.8</v>
      </c>
      <c r="M503">
        <v>2189.8908205290072</v>
      </c>
      <c r="N503">
        <v>1</v>
      </c>
      <c r="O503">
        <v>70.8</v>
      </c>
    </row>
    <row r="504" spans="1:15" x14ac:dyDescent="0.25">
      <c r="A504">
        <v>130</v>
      </c>
      <c r="B504" t="s">
        <v>9</v>
      </c>
      <c r="C504" s="1">
        <v>33212</v>
      </c>
      <c r="D504" s="1" t="s">
        <v>46</v>
      </c>
      <c r="E504">
        <v>43.844110000000001</v>
      </c>
      <c r="F504">
        <v>10.525460000000001</v>
      </c>
      <c r="G504" s="1">
        <v>77150</v>
      </c>
      <c r="H504" s="1" t="s">
        <v>46</v>
      </c>
      <c r="I504">
        <v>43.860230000000001</v>
      </c>
      <c r="J504">
        <v>10.51596</v>
      </c>
      <c r="K504">
        <v>2</v>
      </c>
      <c r="L504">
        <v>153</v>
      </c>
      <c r="M504">
        <v>1069.4250399919681</v>
      </c>
      <c r="N504">
        <v>1</v>
      </c>
      <c r="O504">
        <v>153</v>
      </c>
    </row>
    <row r="505" spans="1:15" x14ac:dyDescent="0.25">
      <c r="A505">
        <v>130</v>
      </c>
      <c r="B505" t="s">
        <v>9</v>
      </c>
      <c r="C505" s="1">
        <v>33214</v>
      </c>
      <c r="D505" s="1" t="s">
        <v>51</v>
      </c>
      <c r="E505">
        <v>43.868270000000003</v>
      </c>
      <c r="F505">
        <v>10.252879999999999</v>
      </c>
      <c r="G505" s="1">
        <v>33220</v>
      </c>
      <c r="H505" s="1" t="s">
        <v>39</v>
      </c>
      <c r="I505">
        <v>43.894159999999999</v>
      </c>
      <c r="J505">
        <v>10.22714</v>
      </c>
      <c r="K505">
        <v>3</v>
      </c>
      <c r="L505">
        <v>210.7</v>
      </c>
      <c r="M505">
        <v>4642.2768781469513</v>
      </c>
      <c r="N505">
        <v>4</v>
      </c>
      <c r="O505">
        <v>210.7</v>
      </c>
    </row>
    <row r="506" spans="1:15" x14ac:dyDescent="0.25">
      <c r="A506">
        <v>130</v>
      </c>
      <c r="B506" t="s">
        <v>9</v>
      </c>
      <c r="C506" s="1">
        <v>33218</v>
      </c>
      <c r="D506" s="1" t="s">
        <v>52</v>
      </c>
      <c r="E506">
        <v>44.033050000000003</v>
      </c>
      <c r="F506">
        <v>10.50367</v>
      </c>
      <c r="G506" s="1">
        <v>33219</v>
      </c>
      <c r="H506" s="1" t="s">
        <v>47</v>
      </c>
      <c r="I506">
        <v>44.110500000000002</v>
      </c>
      <c r="J506">
        <v>10.41159</v>
      </c>
      <c r="K506">
        <v>24</v>
      </c>
      <c r="L506">
        <v>358.49999999999989</v>
      </c>
      <c r="M506">
        <v>4131.8694726962403</v>
      </c>
      <c r="N506">
        <v>1</v>
      </c>
      <c r="O506">
        <v>358.5</v>
      </c>
    </row>
    <row r="507" spans="1:15" x14ac:dyDescent="0.25">
      <c r="A507">
        <v>130</v>
      </c>
      <c r="B507" t="s">
        <v>9</v>
      </c>
      <c r="C507" s="1">
        <v>33220</v>
      </c>
      <c r="D507" s="1" t="s">
        <v>39</v>
      </c>
      <c r="E507">
        <v>43.894159999999999</v>
      </c>
      <c r="F507">
        <v>10.22714</v>
      </c>
      <c r="G507" s="1">
        <v>33221</v>
      </c>
      <c r="H507" s="1" t="s">
        <v>40</v>
      </c>
      <c r="I507">
        <v>43.956339999999997</v>
      </c>
      <c r="J507">
        <v>10.22996</v>
      </c>
      <c r="K507">
        <v>5</v>
      </c>
      <c r="L507">
        <v>168.3</v>
      </c>
      <c r="M507">
        <v>10164.398902832751</v>
      </c>
      <c r="N507">
        <v>4</v>
      </c>
      <c r="O507">
        <v>168.3</v>
      </c>
    </row>
    <row r="508" spans="1:15" x14ac:dyDescent="0.25">
      <c r="A508">
        <v>130</v>
      </c>
      <c r="B508" t="s">
        <v>9</v>
      </c>
      <c r="C508" s="1">
        <v>4144</v>
      </c>
      <c r="D508" s="1" t="s">
        <v>38</v>
      </c>
      <c r="E508">
        <v>43.568049999999999</v>
      </c>
      <c r="F508">
        <v>11.529260000000001</v>
      </c>
      <c r="G508" s="1">
        <v>25421</v>
      </c>
      <c r="H508" s="1" t="s">
        <v>41</v>
      </c>
      <c r="I508">
        <v>43.619419999999998</v>
      </c>
      <c r="J508">
        <v>11.47508</v>
      </c>
      <c r="K508">
        <v>2</v>
      </c>
      <c r="L508">
        <v>82.6</v>
      </c>
      <c r="M508">
        <v>6691.1980343133819</v>
      </c>
      <c r="N508">
        <v>1</v>
      </c>
      <c r="O508">
        <v>82.6</v>
      </c>
    </row>
    <row r="509" spans="1:15" x14ac:dyDescent="0.25">
      <c r="A509">
        <v>130</v>
      </c>
      <c r="B509" t="s">
        <v>9</v>
      </c>
      <c r="C509" s="1">
        <v>4144</v>
      </c>
      <c r="D509" s="1" t="s">
        <v>38</v>
      </c>
      <c r="E509">
        <v>43.568049999999999</v>
      </c>
      <c r="F509">
        <v>11.529260000000001</v>
      </c>
      <c r="G509" s="1">
        <v>4142</v>
      </c>
      <c r="H509" s="1" t="s">
        <v>42</v>
      </c>
      <c r="I509">
        <v>43.529310000000002</v>
      </c>
      <c r="J509">
        <v>11.56737</v>
      </c>
      <c r="K509">
        <v>4</v>
      </c>
      <c r="L509">
        <v>244.6</v>
      </c>
      <c r="M509">
        <v>1458.30687271632</v>
      </c>
      <c r="N509">
        <v>1</v>
      </c>
      <c r="O509">
        <v>244.6</v>
      </c>
    </row>
    <row r="510" spans="1:15" x14ac:dyDescent="0.25">
      <c r="A510">
        <v>130</v>
      </c>
      <c r="B510" t="s">
        <v>9</v>
      </c>
      <c r="C510" s="1">
        <v>46445</v>
      </c>
      <c r="D510" s="1" t="s">
        <v>35</v>
      </c>
      <c r="E510">
        <v>43.10801</v>
      </c>
      <c r="F510">
        <v>12.377940000000001</v>
      </c>
      <c r="G510" s="1">
        <v>46468</v>
      </c>
      <c r="H510" s="1" t="s">
        <v>33</v>
      </c>
      <c r="I510">
        <v>43.116489999999999</v>
      </c>
      <c r="J510">
        <v>12.45126</v>
      </c>
      <c r="K510">
        <v>7</v>
      </c>
      <c r="L510">
        <v>369.4</v>
      </c>
      <c r="M510">
        <v>9381.7742144749918</v>
      </c>
      <c r="N510">
        <v>3</v>
      </c>
      <c r="O510">
        <v>369.4</v>
      </c>
    </row>
    <row r="511" spans="1:15" x14ac:dyDescent="0.25">
      <c r="A511">
        <v>130</v>
      </c>
      <c r="B511" t="s">
        <v>9</v>
      </c>
      <c r="C511" s="1">
        <v>46445</v>
      </c>
      <c r="D511" s="1" t="s">
        <v>35</v>
      </c>
      <c r="E511">
        <v>43.10801</v>
      </c>
      <c r="F511">
        <v>12.377940000000001</v>
      </c>
      <c r="G511" s="1">
        <v>46471</v>
      </c>
      <c r="H511" s="1" t="s">
        <v>34</v>
      </c>
      <c r="I511">
        <v>43.10031</v>
      </c>
      <c r="J511">
        <v>12.318519999999999</v>
      </c>
      <c r="K511">
        <v>11</v>
      </c>
      <c r="L511">
        <v>377</v>
      </c>
      <c r="M511">
        <v>5420.0405435956563</v>
      </c>
      <c r="N511">
        <v>3</v>
      </c>
      <c r="O511">
        <v>377</v>
      </c>
    </row>
    <row r="512" spans="1:15" x14ac:dyDescent="0.25">
      <c r="A512">
        <v>130</v>
      </c>
      <c r="B512" t="s">
        <v>9</v>
      </c>
      <c r="C512" s="1">
        <v>46471</v>
      </c>
      <c r="D512" s="1" t="s">
        <v>34</v>
      </c>
      <c r="E512">
        <v>43.10031</v>
      </c>
      <c r="F512">
        <v>12.318519999999999</v>
      </c>
      <c r="G512" s="1">
        <v>46445</v>
      </c>
      <c r="H512" s="1" t="s">
        <v>35</v>
      </c>
      <c r="I512">
        <v>43.10801</v>
      </c>
      <c r="J512">
        <v>12.377940000000001</v>
      </c>
      <c r="K512">
        <v>11</v>
      </c>
      <c r="L512">
        <v>678.88</v>
      </c>
      <c r="M512">
        <v>1701.35801816904</v>
      </c>
      <c r="N512">
        <v>1</v>
      </c>
      <c r="O512">
        <v>678.88</v>
      </c>
    </row>
    <row r="513" spans="1:15" x14ac:dyDescent="0.25">
      <c r="A513">
        <v>130</v>
      </c>
      <c r="B513" t="s">
        <v>9</v>
      </c>
      <c r="C513" s="1">
        <v>59131</v>
      </c>
      <c r="D513" s="1" t="s">
        <v>45</v>
      </c>
      <c r="E513">
        <v>43.331879999999998</v>
      </c>
      <c r="F513">
        <v>11.32122</v>
      </c>
      <c r="G513" s="1">
        <v>59157</v>
      </c>
      <c r="H513" s="1" t="s">
        <v>45</v>
      </c>
      <c r="I513">
        <v>43.29034</v>
      </c>
      <c r="J513">
        <v>11.33822</v>
      </c>
      <c r="K513">
        <v>21</v>
      </c>
      <c r="L513">
        <v>1303.42</v>
      </c>
      <c r="M513">
        <v>4.8610229090543999</v>
      </c>
      <c r="N513">
        <v>2</v>
      </c>
      <c r="O513">
        <v>1303.42</v>
      </c>
    </row>
    <row r="514" spans="1:15" x14ac:dyDescent="0.25">
      <c r="A514">
        <v>130</v>
      </c>
      <c r="B514" t="s">
        <v>9</v>
      </c>
      <c r="C514" s="1">
        <v>59157</v>
      </c>
      <c r="D514" s="1" t="s">
        <v>45</v>
      </c>
      <c r="E514">
        <v>43.29034</v>
      </c>
      <c r="F514">
        <v>11.33822</v>
      </c>
      <c r="G514" s="1">
        <v>59131</v>
      </c>
      <c r="H514" s="1" t="s">
        <v>45</v>
      </c>
      <c r="I514">
        <v>43.331879999999998</v>
      </c>
      <c r="J514">
        <v>11.32122</v>
      </c>
      <c r="K514">
        <v>7</v>
      </c>
      <c r="L514">
        <v>408.4</v>
      </c>
      <c r="M514">
        <v>2187.4603090744799</v>
      </c>
      <c r="N514">
        <v>1</v>
      </c>
      <c r="O514">
        <v>408.4</v>
      </c>
    </row>
    <row r="515" spans="1:15" x14ac:dyDescent="0.25">
      <c r="A515">
        <v>130</v>
      </c>
      <c r="B515" t="s">
        <v>9</v>
      </c>
      <c r="C515" s="1">
        <v>77343</v>
      </c>
      <c r="D515" s="1" t="s">
        <v>43</v>
      </c>
      <c r="E515">
        <v>42.812559999999998</v>
      </c>
      <c r="F515">
        <v>10.31758</v>
      </c>
      <c r="G515" s="1">
        <v>32095</v>
      </c>
      <c r="H515" s="1" t="s">
        <v>43</v>
      </c>
      <c r="I515">
        <v>42.810519999999997</v>
      </c>
      <c r="J515">
        <v>10.30799</v>
      </c>
      <c r="K515">
        <v>3</v>
      </c>
      <c r="L515">
        <v>273.7</v>
      </c>
      <c r="M515">
        <v>291.661374543264</v>
      </c>
      <c r="N515">
        <v>1</v>
      </c>
      <c r="O515">
        <v>273.7</v>
      </c>
    </row>
    <row r="516" spans="1:15" x14ac:dyDescent="0.25">
      <c r="A516">
        <v>130</v>
      </c>
      <c r="B516" t="s">
        <v>9</v>
      </c>
      <c r="C516" s="1">
        <v>85210</v>
      </c>
      <c r="D516" s="1" t="s">
        <v>49</v>
      </c>
      <c r="E516">
        <v>43.928640000000001</v>
      </c>
      <c r="F516">
        <v>10.9284</v>
      </c>
      <c r="G516" s="1">
        <v>77334</v>
      </c>
      <c r="H516" s="1" t="s">
        <v>49</v>
      </c>
      <c r="I516">
        <v>43.939680000000003</v>
      </c>
      <c r="J516">
        <v>10.943490000000001</v>
      </c>
      <c r="K516">
        <v>1</v>
      </c>
      <c r="L516">
        <v>37</v>
      </c>
      <c r="M516">
        <v>850.67900908451998</v>
      </c>
      <c r="N516">
        <v>1</v>
      </c>
      <c r="O516">
        <v>37</v>
      </c>
    </row>
    <row r="517" spans="1:15" x14ac:dyDescent="0.25">
      <c r="A517">
        <v>130</v>
      </c>
      <c r="B517" t="s">
        <v>9</v>
      </c>
      <c r="C517" s="1">
        <v>92197</v>
      </c>
      <c r="D517" s="1" t="s">
        <v>53</v>
      </c>
      <c r="E517">
        <v>42.570590000000003</v>
      </c>
      <c r="F517">
        <v>12.632300000000001</v>
      </c>
      <c r="G517" s="1">
        <v>92198</v>
      </c>
      <c r="H517" s="1" t="s">
        <v>48</v>
      </c>
      <c r="I517">
        <v>42.529159999999997</v>
      </c>
      <c r="J517">
        <v>12.51361</v>
      </c>
      <c r="K517">
        <v>25</v>
      </c>
      <c r="L517">
        <v>475</v>
      </c>
      <c r="M517">
        <v>7218.6190199457833</v>
      </c>
      <c r="N517">
        <v>2</v>
      </c>
      <c r="O517">
        <v>475</v>
      </c>
    </row>
    <row r="518" spans="1:15" x14ac:dyDescent="0.25">
      <c r="A518">
        <v>150</v>
      </c>
      <c r="B518" t="s">
        <v>7</v>
      </c>
      <c r="C518" s="1">
        <v>25290</v>
      </c>
      <c r="D518" s="1" t="s">
        <v>32</v>
      </c>
      <c r="E518">
        <v>43.81803</v>
      </c>
      <c r="F518">
        <v>11.211550000000001</v>
      </c>
      <c r="G518" s="1">
        <v>25239</v>
      </c>
      <c r="H518" s="1" t="s">
        <v>31</v>
      </c>
      <c r="I518">
        <v>43.77281</v>
      </c>
      <c r="J518">
        <v>11.29452</v>
      </c>
      <c r="K518">
        <v>130</v>
      </c>
      <c r="L518">
        <v>4987.1000000000004</v>
      </c>
      <c r="M518">
        <v>18228.835908953999</v>
      </c>
      <c r="N518">
        <v>5</v>
      </c>
      <c r="O518">
        <v>4987.1000000000004</v>
      </c>
    </row>
    <row r="519" spans="1:15" x14ac:dyDescent="0.25">
      <c r="A519">
        <v>150</v>
      </c>
      <c r="B519" t="s">
        <v>7</v>
      </c>
      <c r="C519" s="1">
        <v>25290</v>
      </c>
      <c r="D519" s="1" t="s">
        <v>32</v>
      </c>
      <c r="E519">
        <v>43.81803</v>
      </c>
      <c r="F519">
        <v>11.211550000000001</v>
      </c>
      <c r="G519" s="1">
        <v>25398</v>
      </c>
      <c r="H519" s="1" t="s">
        <v>31</v>
      </c>
      <c r="I519">
        <v>43.769460000000002</v>
      </c>
      <c r="J519">
        <v>11.19172</v>
      </c>
      <c r="K519">
        <v>35</v>
      </c>
      <c r="L519">
        <v>2019.72</v>
      </c>
      <c r="M519">
        <v>11182.78320227965</v>
      </c>
      <c r="N519">
        <v>4</v>
      </c>
      <c r="O519">
        <v>2019.72</v>
      </c>
    </row>
    <row r="520" spans="1:15" x14ac:dyDescent="0.25">
      <c r="A520">
        <v>150</v>
      </c>
      <c r="B520" t="s">
        <v>7</v>
      </c>
      <c r="C520" s="1">
        <v>25290</v>
      </c>
      <c r="D520" s="1" t="s">
        <v>32</v>
      </c>
      <c r="E520">
        <v>43.81803</v>
      </c>
      <c r="F520">
        <v>11.211550000000001</v>
      </c>
      <c r="G520" s="1">
        <v>25400</v>
      </c>
      <c r="H520" s="1" t="s">
        <v>31</v>
      </c>
      <c r="I520">
        <v>43.798690000000001</v>
      </c>
      <c r="J520">
        <v>11.20762</v>
      </c>
      <c r="K520">
        <v>121</v>
      </c>
      <c r="L520">
        <v>6189.9600000000009</v>
      </c>
      <c r="M520">
        <v>10086.622536287879</v>
      </c>
      <c r="N520">
        <v>7</v>
      </c>
      <c r="O520">
        <v>6189.96</v>
      </c>
    </row>
    <row r="521" spans="1:15" x14ac:dyDescent="0.25">
      <c r="A521">
        <v>150</v>
      </c>
      <c r="B521" t="s">
        <v>7</v>
      </c>
      <c r="C521" s="1">
        <v>25290</v>
      </c>
      <c r="D521" s="1" t="s">
        <v>32</v>
      </c>
      <c r="E521">
        <v>43.81803</v>
      </c>
      <c r="F521">
        <v>11.211550000000001</v>
      </c>
      <c r="G521" s="1">
        <v>25401</v>
      </c>
      <c r="H521" s="1" t="s">
        <v>36</v>
      </c>
      <c r="I521">
        <v>43.87838</v>
      </c>
      <c r="J521">
        <v>11.103210000000001</v>
      </c>
      <c r="K521">
        <v>155</v>
      </c>
      <c r="L521">
        <v>2791.3</v>
      </c>
      <c r="M521">
        <v>18690.63308531417</v>
      </c>
      <c r="N521">
        <v>5</v>
      </c>
      <c r="O521">
        <v>2791.3</v>
      </c>
    </row>
    <row r="522" spans="1:15" x14ac:dyDescent="0.25">
      <c r="A522">
        <v>150</v>
      </c>
      <c r="B522" t="s">
        <v>7</v>
      </c>
      <c r="C522" s="1">
        <v>25290</v>
      </c>
      <c r="D522" s="1" t="s">
        <v>32</v>
      </c>
      <c r="E522">
        <v>43.81803</v>
      </c>
      <c r="F522">
        <v>11.211550000000001</v>
      </c>
      <c r="G522" s="1">
        <v>25417</v>
      </c>
      <c r="H522" s="1" t="s">
        <v>37</v>
      </c>
      <c r="I522">
        <v>43.754040000000003</v>
      </c>
      <c r="J522">
        <v>11.32128</v>
      </c>
      <c r="K522">
        <v>64</v>
      </c>
      <c r="L522">
        <v>973.3</v>
      </c>
      <c r="M522">
        <v>14194.18689443885</v>
      </c>
      <c r="N522">
        <v>2</v>
      </c>
      <c r="O522">
        <v>973.3</v>
      </c>
    </row>
    <row r="523" spans="1:15" x14ac:dyDescent="0.25">
      <c r="A523">
        <v>150</v>
      </c>
      <c r="B523" t="s">
        <v>7</v>
      </c>
      <c r="C523" s="1">
        <v>25398</v>
      </c>
      <c r="D523" s="1" t="s">
        <v>31</v>
      </c>
      <c r="E523">
        <v>43.769460000000002</v>
      </c>
      <c r="F523">
        <v>11.19172</v>
      </c>
      <c r="G523" s="1">
        <v>25239</v>
      </c>
      <c r="H523" s="1" t="s">
        <v>31</v>
      </c>
      <c r="I523">
        <v>43.77281</v>
      </c>
      <c r="J523">
        <v>11.29452</v>
      </c>
      <c r="K523">
        <v>4</v>
      </c>
      <c r="L523">
        <v>134</v>
      </c>
      <c r="M523">
        <v>2916.6137454326399</v>
      </c>
      <c r="N523">
        <v>1</v>
      </c>
      <c r="O523">
        <v>134</v>
      </c>
    </row>
    <row r="524" spans="1:15" x14ac:dyDescent="0.25">
      <c r="A524">
        <v>150</v>
      </c>
      <c r="B524" t="s">
        <v>7</v>
      </c>
      <c r="C524" s="1">
        <v>25398</v>
      </c>
      <c r="D524" s="1" t="s">
        <v>31</v>
      </c>
      <c r="E524">
        <v>43.769460000000002</v>
      </c>
      <c r="F524">
        <v>11.19172</v>
      </c>
      <c r="G524" s="1">
        <v>25290</v>
      </c>
      <c r="H524" s="1" t="s">
        <v>32</v>
      </c>
      <c r="I524">
        <v>43.81803</v>
      </c>
      <c r="J524">
        <v>11.211550000000001</v>
      </c>
      <c r="K524">
        <v>47</v>
      </c>
      <c r="L524">
        <v>38</v>
      </c>
      <c r="M524">
        <v>4377.3511296034876</v>
      </c>
      <c r="N524">
        <v>1</v>
      </c>
      <c r="O524">
        <v>38</v>
      </c>
    </row>
    <row r="525" spans="1:15" x14ac:dyDescent="0.25">
      <c r="A525">
        <v>150</v>
      </c>
      <c r="B525" t="s">
        <v>7</v>
      </c>
      <c r="C525" s="1">
        <v>25400</v>
      </c>
      <c r="D525" s="1" t="s">
        <v>31</v>
      </c>
      <c r="E525">
        <v>43.798690000000001</v>
      </c>
      <c r="F525">
        <v>11.20762</v>
      </c>
      <c r="G525" s="1">
        <v>25290</v>
      </c>
      <c r="H525" s="1" t="s">
        <v>32</v>
      </c>
      <c r="I525">
        <v>43.81803</v>
      </c>
      <c r="J525">
        <v>11.211550000000001</v>
      </c>
      <c r="K525">
        <v>105</v>
      </c>
      <c r="L525">
        <v>159.91999999999999</v>
      </c>
      <c r="M525">
        <v>2673.5625999799199</v>
      </c>
      <c r="N525">
        <v>2</v>
      </c>
      <c r="O525">
        <v>159.91999999999999</v>
      </c>
    </row>
    <row r="526" spans="1:15" x14ac:dyDescent="0.25">
      <c r="A526">
        <v>150</v>
      </c>
      <c r="B526" t="s">
        <v>7</v>
      </c>
      <c r="C526" s="1">
        <v>25400</v>
      </c>
      <c r="D526" s="1" t="s">
        <v>31</v>
      </c>
      <c r="E526">
        <v>43.798690000000001</v>
      </c>
      <c r="F526">
        <v>11.20762</v>
      </c>
      <c r="G526" s="1">
        <v>25398</v>
      </c>
      <c r="H526" s="1" t="s">
        <v>31</v>
      </c>
      <c r="I526">
        <v>43.769460000000002</v>
      </c>
      <c r="J526">
        <v>11.19172</v>
      </c>
      <c r="K526">
        <v>16</v>
      </c>
      <c r="L526">
        <v>961.4</v>
      </c>
      <c r="M526">
        <v>2989.529089068456</v>
      </c>
      <c r="N526">
        <v>2</v>
      </c>
      <c r="O526">
        <v>961.4</v>
      </c>
    </row>
    <row r="527" spans="1:15" x14ac:dyDescent="0.25">
      <c r="A527">
        <v>150</v>
      </c>
      <c r="B527" t="s">
        <v>7</v>
      </c>
      <c r="C527" s="1">
        <v>25401</v>
      </c>
      <c r="D527" s="1" t="s">
        <v>36</v>
      </c>
      <c r="E527">
        <v>43.87838</v>
      </c>
      <c r="F527">
        <v>11.103210000000001</v>
      </c>
      <c r="G527" s="1">
        <v>25290</v>
      </c>
      <c r="H527" s="1" t="s">
        <v>32</v>
      </c>
      <c r="I527">
        <v>43.81803</v>
      </c>
      <c r="J527">
        <v>11.211550000000001</v>
      </c>
      <c r="K527">
        <v>60</v>
      </c>
      <c r="L527">
        <v>58.8</v>
      </c>
      <c r="M527">
        <v>3767.2927545171601</v>
      </c>
      <c r="N527">
        <v>1</v>
      </c>
      <c r="O527">
        <v>58.8</v>
      </c>
    </row>
    <row r="528" spans="1:15" x14ac:dyDescent="0.25">
      <c r="A528">
        <v>150</v>
      </c>
      <c r="B528" t="s">
        <v>7</v>
      </c>
      <c r="C528" s="1">
        <v>25401</v>
      </c>
      <c r="D528" s="1" t="s">
        <v>36</v>
      </c>
      <c r="E528">
        <v>43.87838</v>
      </c>
      <c r="F528">
        <v>11.103210000000001</v>
      </c>
      <c r="G528" s="1">
        <v>25433</v>
      </c>
      <c r="H528" s="1" t="s">
        <v>44</v>
      </c>
      <c r="I528">
        <v>43.923850000000002</v>
      </c>
      <c r="J528">
        <v>11.03511</v>
      </c>
      <c r="K528">
        <v>18</v>
      </c>
      <c r="L528">
        <v>792</v>
      </c>
      <c r="M528">
        <v>2916.6137454326399</v>
      </c>
      <c r="N528">
        <v>1</v>
      </c>
      <c r="O528">
        <v>792</v>
      </c>
    </row>
    <row r="529" spans="1:15" x14ac:dyDescent="0.25">
      <c r="A529">
        <v>150</v>
      </c>
      <c r="B529" t="s">
        <v>7</v>
      </c>
      <c r="C529" s="1">
        <v>25421</v>
      </c>
      <c r="D529" s="1" t="s">
        <v>41</v>
      </c>
      <c r="E529">
        <v>43.619419999999998</v>
      </c>
      <c r="F529">
        <v>11.47508</v>
      </c>
      <c r="G529" s="1">
        <v>4142</v>
      </c>
      <c r="H529" s="1" t="s">
        <v>42</v>
      </c>
      <c r="I529">
        <v>43.529310000000002</v>
      </c>
      <c r="J529">
        <v>11.56737</v>
      </c>
      <c r="K529">
        <v>14</v>
      </c>
      <c r="L529">
        <v>86.4</v>
      </c>
      <c r="M529">
        <v>3645.7671817907999</v>
      </c>
      <c r="N529">
        <v>1</v>
      </c>
      <c r="O529">
        <v>86.4</v>
      </c>
    </row>
    <row r="530" spans="1:15" x14ac:dyDescent="0.25">
      <c r="A530">
        <v>150</v>
      </c>
      <c r="B530" t="s">
        <v>7</v>
      </c>
      <c r="C530" s="1">
        <v>25421</v>
      </c>
      <c r="D530" s="1" t="s">
        <v>41</v>
      </c>
      <c r="E530">
        <v>43.619419999999998</v>
      </c>
      <c r="F530">
        <v>11.47508</v>
      </c>
      <c r="G530" s="1">
        <v>4144</v>
      </c>
      <c r="H530" s="1" t="s">
        <v>38</v>
      </c>
      <c r="I530">
        <v>43.568049999999999</v>
      </c>
      <c r="J530">
        <v>11.529260000000001</v>
      </c>
      <c r="K530">
        <v>5</v>
      </c>
      <c r="L530">
        <v>194.4</v>
      </c>
      <c r="M530">
        <v>2187.4603090744799</v>
      </c>
      <c r="N530">
        <v>1</v>
      </c>
      <c r="O530">
        <v>194.4</v>
      </c>
    </row>
    <row r="531" spans="1:15" x14ac:dyDescent="0.25">
      <c r="A531">
        <v>150</v>
      </c>
      <c r="B531" t="s">
        <v>7</v>
      </c>
      <c r="C531" s="1">
        <v>32094</v>
      </c>
      <c r="D531" s="1" t="s">
        <v>54</v>
      </c>
      <c r="E531">
        <v>43.304879999999997</v>
      </c>
      <c r="F531">
        <v>10.5182</v>
      </c>
      <c r="G531" s="1">
        <v>32098</v>
      </c>
      <c r="H531" s="1" t="s">
        <v>50</v>
      </c>
      <c r="I531">
        <v>43.393940000000001</v>
      </c>
      <c r="J531">
        <v>10.43547</v>
      </c>
      <c r="K531">
        <v>7</v>
      </c>
      <c r="L531">
        <v>70.8</v>
      </c>
      <c r="M531">
        <v>2189.8908205290072</v>
      </c>
      <c r="N531">
        <v>1</v>
      </c>
      <c r="O531">
        <v>70.8</v>
      </c>
    </row>
    <row r="532" spans="1:15" x14ac:dyDescent="0.25">
      <c r="A532">
        <v>150</v>
      </c>
      <c r="B532" t="s">
        <v>7</v>
      </c>
      <c r="C532" s="1">
        <v>33212</v>
      </c>
      <c r="D532" s="1" t="s">
        <v>46</v>
      </c>
      <c r="E532">
        <v>43.844110000000001</v>
      </c>
      <c r="F532">
        <v>10.525460000000001</v>
      </c>
      <c r="G532" s="1">
        <v>77150</v>
      </c>
      <c r="H532" s="1" t="s">
        <v>46</v>
      </c>
      <c r="I532">
        <v>43.860230000000001</v>
      </c>
      <c r="J532">
        <v>10.51596</v>
      </c>
      <c r="K532">
        <v>2</v>
      </c>
      <c r="L532">
        <v>153</v>
      </c>
      <c r="M532">
        <v>1069.4250399919681</v>
      </c>
      <c r="N532">
        <v>1</v>
      </c>
      <c r="O532">
        <v>153</v>
      </c>
    </row>
    <row r="533" spans="1:15" x14ac:dyDescent="0.25">
      <c r="A533">
        <v>150</v>
      </c>
      <c r="B533" t="s">
        <v>7</v>
      </c>
      <c r="C533" s="1">
        <v>33214</v>
      </c>
      <c r="D533" s="1" t="s">
        <v>51</v>
      </c>
      <c r="E533">
        <v>43.868270000000003</v>
      </c>
      <c r="F533">
        <v>10.252879999999999</v>
      </c>
      <c r="G533" s="1">
        <v>33220</v>
      </c>
      <c r="H533" s="1" t="s">
        <v>39</v>
      </c>
      <c r="I533">
        <v>43.894159999999999</v>
      </c>
      <c r="J533">
        <v>10.22714</v>
      </c>
      <c r="K533">
        <v>3</v>
      </c>
      <c r="L533">
        <v>210.7</v>
      </c>
      <c r="M533">
        <v>4642.2768781469513</v>
      </c>
      <c r="N533">
        <v>4</v>
      </c>
      <c r="O533">
        <v>210.7</v>
      </c>
    </row>
    <row r="534" spans="1:15" x14ac:dyDescent="0.25">
      <c r="A534">
        <v>150</v>
      </c>
      <c r="B534" t="s">
        <v>7</v>
      </c>
      <c r="C534" s="1">
        <v>33218</v>
      </c>
      <c r="D534" s="1" t="s">
        <v>52</v>
      </c>
      <c r="E534">
        <v>44.033050000000003</v>
      </c>
      <c r="F534">
        <v>10.50367</v>
      </c>
      <c r="G534" s="1">
        <v>33219</v>
      </c>
      <c r="H534" s="1" t="s">
        <v>47</v>
      </c>
      <c r="I534">
        <v>44.110500000000002</v>
      </c>
      <c r="J534">
        <v>10.41159</v>
      </c>
      <c r="K534">
        <v>24</v>
      </c>
      <c r="L534">
        <v>358.5</v>
      </c>
      <c r="M534">
        <v>4131.8694726962403</v>
      </c>
      <c r="N534">
        <v>1</v>
      </c>
      <c r="O534">
        <v>358.5</v>
      </c>
    </row>
    <row r="535" spans="1:15" x14ac:dyDescent="0.25">
      <c r="A535">
        <v>150</v>
      </c>
      <c r="B535" t="s">
        <v>7</v>
      </c>
      <c r="C535" s="1">
        <v>33220</v>
      </c>
      <c r="D535" s="1" t="s">
        <v>39</v>
      </c>
      <c r="E535">
        <v>43.894159999999999</v>
      </c>
      <c r="F535">
        <v>10.22714</v>
      </c>
      <c r="G535" s="1">
        <v>33221</v>
      </c>
      <c r="H535" s="1" t="s">
        <v>40</v>
      </c>
      <c r="I535">
        <v>43.956339999999997</v>
      </c>
      <c r="J535">
        <v>10.22996</v>
      </c>
      <c r="K535">
        <v>5</v>
      </c>
      <c r="L535">
        <v>168.3</v>
      </c>
      <c r="M535">
        <v>10164.398902832751</v>
      </c>
      <c r="N535">
        <v>4</v>
      </c>
      <c r="O535">
        <v>168.3</v>
      </c>
    </row>
    <row r="536" spans="1:15" x14ac:dyDescent="0.25">
      <c r="A536">
        <v>150</v>
      </c>
      <c r="B536" t="s">
        <v>7</v>
      </c>
      <c r="C536" s="1">
        <v>4144</v>
      </c>
      <c r="D536" s="1" t="s">
        <v>38</v>
      </c>
      <c r="E536">
        <v>43.568049999999999</v>
      </c>
      <c r="F536">
        <v>11.529260000000001</v>
      </c>
      <c r="G536" s="1">
        <v>25421</v>
      </c>
      <c r="H536" s="1" t="s">
        <v>41</v>
      </c>
      <c r="I536">
        <v>43.619419999999998</v>
      </c>
      <c r="J536">
        <v>11.47508</v>
      </c>
      <c r="K536">
        <v>5</v>
      </c>
      <c r="L536">
        <v>82.6</v>
      </c>
      <c r="M536">
        <v>6691.1980343133819</v>
      </c>
      <c r="N536">
        <v>1</v>
      </c>
      <c r="O536">
        <v>82.6</v>
      </c>
    </row>
    <row r="537" spans="1:15" x14ac:dyDescent="0.25">
      <c r="A537">
        <v>150</v>
      </c>
      <c r="B537" t="s">
        <v>7</v>
      </c>
      <c r="C537" s="1">
        <v>4144</v>
      </c>
      <c r="D537" s="1" t="s">
        <v>38</v>
      </c>
      <c r="E537">
        <v>43.568049999999999</v>
      </c>
      <c r="F537">
        <v>11.529260000000001</v>
      </c>
      <c r="G537" s="1">
        <v>4142</v>
      </c>
      <c r="H537" s="1" t="s">
        <v>42</v>
      </c>
      <c r="I537">
        <v>43.529310000000002</v>
      </c>
      <c r="J537">
        <v>11.56737</v>
      </c>
      <c r="K537">
        <v>4</v>
      </c>
      <c r="L537">
        <v>244.6</v>
      </c>
      <c r="M537">
        <v>1458.30687271632</v>
      </c>
      <c r="N537">
        <v>1</v>
      </c>
      <c r="O537">
        <v>244.6</v>
      </c>
    </row>
    <row r="538" spans="1:15" x14ac:dyDescent="0.25">
      <c r="A538">
        <v>150</v>
      </c>
      <c r="B538" t="s">
        <v>7</v>
      </c>
      <c r="C538" s="1">
        <v>46445</v>
      </c>
      <c r="D538" s="1" t="s">
        <v>35</v>
      </c>
      <c r="E538">
        <v>43.10801</v>
      </c>
      <c r="F538">
        <v>12.377940000000001</v>
      </c>
      <c r="G538" s="1">
        <v>46468</v>
      </c>
      <c r="H538" s="1" t="s">
        <v>33</v>
      </c>
      <c r="I538">
        <v>43.116489999999999</v>
      </c>
      <c r="J538">
        <v>12.45126</v>
      </c>
      <c r="K538">
        <v>7</v>
      </c>
      <c r="L538">
        <v>369.4</v>
      </c>
      <c r="M538">
        <v>9381.7742144749918</v>
      </c>
      <c r="N538">
        <v>3</v>
      </c>
      <c r="O538">
        <v>369.4</v>
      </c>
    </row>
    <row r="539" spans="1:15" x14ac:dyDescent="0.25">
      <c r="A539">
        <v>150</v>
      </c>
      <c r="B539" t="s">
        <v>7</v>
      </c>
      <c r="C539" s="1">
        <v>46445</v>
      </c>
      <c r="D539" s="1" t="s">
        <v>35</v>
      </c>
      <c r="E539">
        <v>43.10801</v>
      </c>
      <c r="F539">
        <v>12.377940000000001</v>
      </c>
      <c r="G539" s="1">
        <v>46471</v>
      </c>
      <c r="H539" s="1" t="s">
        <v>34</v>
      </c>
      <c r="I539">
        <v>43.10031</v>
      </c>
      <c r="J539">
        <v>12.318519999999999</v>
      </c>
      <c r="K539">
        <v>11</v>
      </c>
      <c r="L539">
        <v>377</v>
      </c>
      <c r="M539">
        <v>5420.0405435956563</v>
      </c>
      <c r="N539">
        <v>3</v>
      </c>
      <c r="O539">
        <v>377</v>
      </c>
    </row>
    <row r="540" spans="1:15" x14ac:dyDescent="0.25">
      <c r="A540">
        <v>150</v>
      </c>
      <c r="B540" t="s">
        <v>7</v>
      </c>
      <c r="C540" s="1">
        <v>46471</v>
      </c>
      <c r="D540" s="1" t="s">
        <v>34</v>
      </c>
      <c r="E540">
        <v>43.10031</v>
      </c>
      <c r="F540">
        <v>12.318519999999999</v>
      </c>
      <c r="G540" s="1">
        <v>46445</v>
      </c>
      <c r="H540" s="1" t="s">
        <v>35</v>
      </c>
      <c r="I540">
        <v>43.10801</v>
      </c>
      <c r="J540">
        <v>12.377940000000001</v>
      </c>
      <c r="K540">
        <v>11</v>
      </c>
      <c r="L540">
        <v>678.88</v>
      </c>
      <c r="M540">
        <v>1701.35801816904</v>
      </c>
      <c r="N540">
        <v>1</v>
      </c>
      <c r="O540">
        <v>678.88</v>
      </c>
    </row>
    <row r="541" spans="1:15" x14ac:dyDescent="0.25">
      <c r="A541">
        <v>150</v>
      </c>
      <c r="B541" t="s">
        <v>7</v>
      </c>
      <c r="C541" s="1">
        <v>59131</v>
      </c>
      <c r="D541" s="1" t="s">
        <v>45</v>
      </c>
      <c r="E541">
        <v>43.331879999999998</v>
      </c>
      <c r="F541">
        <v>11.32122</v>
      </c>
      <c r="G541" s="1">
        <v>59157</v>
      </c>
      <c r="H541" s="1" t="s">
        <v>45</v>
      </c>
      <c r="I541">
        <v>43.29034</v>
      </c>
      <c r="J541">
        <v>11.33822</v>
      </c>
      <c r="K541">
        <v>20</v>
      </c>
      <c r="L541">
        <v>1303.42</v>
      </c>
      <c r="M541">
        <v>4.8610229090543999</v>
      </c>
      <c r="N541">
        <v>2</v>
      </c>
      <c r="O541">
        <v>1303.42</v>
      </c>
    </row>
    <row r="542" spans="1:15" x14ac:dyDescent="0.25">
      <c r="A542">
        <v>150</v>
      </c>
      <c r="B542" t="s">
        <v>7</v>
      </c>
      <c r="C542" s="1">
        <v>59157</v>
      </c>
      <c r="D542" s="1" t="s">
        <v>45</v>
      </c>
      <c r="E542">
        <v>43.29034</v>
      </c>
      <c r="F542">
        <v>11.33822</v>
      </c>
      <c r="G542" s="1">
        <v>59131</v>
      </c>
      <c r="H542" s="1" t="s">
        <v>45</v>
      </c>
      <c r="I542">
        <v>43.331879999999998</v>
      </c>
      <c r="J542">
        <v>11.32122</v>
      </c>
      <c r="K542">
        <v>7</v>
      </c>
      <c r="L542">
        <v>408.4</v>
      </c>
      <c r="M542">
        <v>2187.4603090744799</v>
      </c>
      <c r="N542">
        <v>1</v>
      </c>
      <c r="O542">
        <v>408.4</v>
      </c>
    </row>
    <row r="543" spans="1:15" x14ac:dyDescent="0.25">
      <c r="A543">
        <v>150</v>
      </c>
      <c r="B543" t="s">
        <v>7</v>
      </c>
      <c r="C543" s="1">
        <v>77343</v>
      </c>
      <c r="D543" s="1" t="s">
        <v>43</v>
      </c>
      <c r="E543">
        <v>42.812559999999998</v>
      </c>
      <c r="F543">
        <v>10.31758</v>
      </c>
      <c r="G543" s="1">
        <v>32095</v>
      </c>
      <c r="H543" s="1" t="s">
        <v>43</v>
      </c>
      <c r="I543">
        <v>42.810519999999997</v>
      </c>
      <c r="J543">
        <v>10.30799</v>
      </c>
      <c r="K543">
        <v>3</v>
      </c>
      <c r="L543">
        <v>273.7</v>
      </c>
      <c r="M543">
        <v>291.661374543264</v>
      </c>
      <c r="N543">
        <v>1</v>
      </c>
      <c r="O543">
        <v>273.7</v>
      </c>
    </row>
    <row r="544" spans="1:15" x14ac:dyDescent="0.25">
      <c r="A544">
        <v>150</v>
      </c>
      <c r="B544" t="s">
        <v>7</v>
      </c>
      <c r="C544" s="1">
        <v>85210</v>
      </c>
      <c r="D544" s="1" t="s">
        <v>49</v>
      </c>
      <c r="E544">
        <v>43.928640000000001</v>
      </c>
      <c r="F544">
        <v>10.9284</v>
      </c>
      <c r="G544" s="1">
        <v>77334</v>
      </c>
      <c r="H544" s="1" t="s">
        <v>49</v>
      </c>
      <c r="I544">
        <v>43.939680000000003</v>
      </c>
      <c r="J544">
        <v>10.943490000000001</v>
      </c>
      <c r="K544">
        <v>1</v>
      </c>
      <c r="L544">
        <v>37</v>
      </c>
      <c r="M544">
        <v>850.67900908451998</v>
      </c>
      <c r="N544">
        <v>1</v>
      </c>
      <c r="O544">
        <v>37</v>
      </c>
    </row>
    <row r="545" spans="1:15" x14ac:dyDescent="0.25">
      <c r="A545">
        <v>150</v>
      </c>
      <c r="B545" t="s">
        <v>7</v>
      </c>
      <c r="C545" s="1">
        <v>92197</v>
      </c>
      <c r="D545" s="1" t="s">
        <v>53</v>
      </c>
      <c r="E545">
        <v>42.570590000000003</v>
      </c>
      <c r="F545">
        <v>12.632300000000001</v>
      </c>
      <c r="G545" s="1">
        <v>92198</v>
      </c>
      <c r="H545" s="1" t="s">
        <v>48</v>
      </c>
      <c r="I545">
        <v>42.529159999999997</v>
      </c>
      <c r="J545">
        <v>12.51361</v>
      </c>
      <c r="K545">
        <v>25</v>
      </c>
      <c r="L545">
        <v>475</v>
      </c>
      <c r="M545">
        <v>7218.6190199457833</v>
      </c>
      <c r="N545">
        <v>2</v>
      </c>
      <c r="O545">
        <v>475</v>
      </c>
    </row>
    <row r="546" spans="1:15" x14ac:dyDescent="0.25">
      <c r="A546">
        <v>150</v>
      </c>
      <c r="B546" t="s">
        <v>8</v>
      </c>
      <c r="C546" s="1">
        <v>25290</v>
      </c>
      <c r="D546" s="1" t="s">
        <v>32</v>
      </c>
      <c r="E546">
        <v>43.81803</v>
      </c>
      <c r="F546">
        <v>11.211550000000001</v>
      </c>
      <c r="G546" s="1">
        <v>25239</v>
      </c>
      <c r="H546" s="1" t="s">
        <v>31</v>
      </c>
      <c r="I546">
        <v>43.77281</v>
      </c>
      <c r="J546">
        <v>11.29452</v>
      </c>
      <c r="K546">
        <v>130</v>
      </c>
      <c r="L546">
        <v>4987.1000000000004</v>
      </c>
      <c r="M546">
        <v>18228.835908953999</v>
      </c>
      <c r="N546">
        <v>5</v>
      </c>
      <c r="O546">
        <v>4987.1000000000004</v>
      </c>
    </row>
    <row r="547" spans="1:15" x14ac:dyDescent="0.25">
      <c r="A547">
        <v>150</v>
      </c>
      <c r="B547" t="s">
        <v>8</v>
      </c>
      <c r="C547" s="1">
        <v>25290</v>
      </c>
      <c r="D547" s="1" t="s">
        <v>32</v>
      </c>
      <c r="E547">
        <v>43.81803</v>
      </c>
      <c r="F547">
        <v>11.211550000000001</v>
      </c>
      <c r="G547" s="1">
        <v>25398</v>
      </c>
      <c r="H547" s="1" t="s">
        <v>31</v>
      </c>
      <c r="I547">
        <v>43.769460000000002</v>
      </c>
      <c r="J547">
        <v>11.19172</v>
      </c>
      <c r="K547">
        <v>35</v>
      </c>
      <c r="L547">
        <v>2019.72</v>
      </c>
      <c r="M547">
        <v>11182.78320227965</v>
      </c>
      <c r="N547">
        <v>4</v>
      </c>
      <c r="O547">
        <v>2019.72</v>
      </c>
    </row>
    <row r="548" spans="1:15" x14ac:dyDescent="0.25">
      <c r="A548">
        <v>150</v>
      </c>
      <c r="B548" t="s">
        <v>8</v>
      </c>
      <c r="C548" s="1">
        <v>25290</v>
      </c>
      <c r="D548" s="1" t="s">
        <v>32</v>
      </c>
      <c r="E548">
        <v>43.81803</v>
      </c>
      <c r="F548">
        <v>11.211550000000001</v>
      </c>
      <c r="G548" s="1">
        <v>25400</v>
      </c>
      <c r="H548" s="1" t="s">
        <v>31</v>
      </c>
      <c r="I548">
        <v>43.798690000000001</v>
      </c>
      <c r="J548">
        <v>11.20762</v>
      </c>
      <c r="K548">
        <v>72</v>
      </c>
      <c r="L548">
        <v>5900.96</v>
      </c>
      <c r="M548">
        <v>8992.8923817506402</v>
      </c>
      <c r="N548">
        <v>6</v>
      </c>
      <c r="O548">
        <v>4490.76</v>
      </c>
    </row>
    <row r="549" spans="1:15" x14ac:dyDescent="0.25">
      <c r="A549">
        <v>150</v>
      </c>
      <c r="B549" t="s">
        <v>8</v>
      </c>
      <c r="C549" s="1">
        <v>25290</v>
      </c>
      <c r="D549" s="1" t="s">
        <v>32</v>
      </c>
      <c r="E549">
        <v>43.81803</v>
      </c>
      <c r="F549">
        <v>11.211550000000001</v>
      </c>
      <c r="G549" s="1">
        <v>25401</v>
      </c>
      <c r="H549" s="1" t="s">
        <v>36</v>
      </c>
      <c r="I549">
        <v>43.87838</v>
      </c>
      <c r="J549">
        <v>11.103210000000001</v>
      </c>
      <c r="K549">
        <v>155</v>
      </c>
      <c r="L549">
        <v>2791.3</v>
      </c>
      <c r="M549">
        <v>18690.63308531417</v>
      </c>
      <c r="N549">
        <v>5</v>
      </c>
      <c r="O549">
        <v>2791.3</v>
      </c>
    </row>
    <row r="550" spans="1:15" x14ac:dyDescent="0.25">
      <c r="A550">
        <v>150</v>
      </c>
      <c r="B550" t="s">
        <v>8</v>
      </c>
      <c r="C550" s="1">
        <v>25290</v>
      </c>
      <c r="D550" s="1" t="s">
        <v>32</v>
      </c>
      <c r="E550">
        <v>43.81803</v>
      </c>
      <c r="F550">
        <v>11.211550000000001</v>
      </c>
      <c r="G550" s="1">
        <v>25417</v>
      </c>
      <c r="H550" s="1" t="s">
        <v>37</v>
      </c>
      <c r="I550">
        <v>43.754040000000003</v>
      </c>
      <c r="J550">
        <v>11.32128</v>
      </c>
      <c r="K550">
        <v>64</v>
      </c>
      <c r="L550">
        <v>973.3</v>
      </c>
      <c r="M550">
        <v>14194.18689443885</v>
      </c>
      <c r="N550">
        <v>2</v>
      </c>
      <c r="O550">
        <v>973.3</v>
      </c>
    </row>
    <row r="551" spans="1:15" x14ac:dyDescent="0.25">
      <c r="A551">
        <v>150</v>
      </c>
      <c r="B551" t="s">
        <v>8</v>
      </c>
      <c r="C551" s="1">
        <v>25398</v>
      </c>
      <c r="D551" s="1" t="s">
        <v>31</v>
      </c>
      <c r="E551">
        <v>43.769460000000002</v>
      </c>
      <c r="F551">
        <v>11.19172</v>
      </c>
      <c r="G551" s="1">
        <v>25239</v>
      </c>
      <c r="H551" s="1" t="s">
        <v>31</v>
      </c>
      <c r="I551">
        <v>43.77281</v>
      </c>
      <c r="J551">
        <v>11.29452</v>
      </c>
      <c r="K551">
        <v>4</v>
      </c>
      <c r="L551">
        <v>134</v>
      </c>
      <c r="M551">
        <v>2916.6137454326399</v>
      </c>
      <c r="N551">
        <v>1</v>
      </c>
      <c r="O551">
        <v>134</v>
      </c>
    </row>
    <row r="552" spans="1:15" x14ac:dyDescent="0.25">
      <c r="A552">
        <v>150</v>
      </c>
      <c r="B552" t="s">
        <v>8</v>
      </c>
      <c r="C552" s="1">
        <v>25398</v>
      </c>
      <c r="D552" s="1" t="s">
        <v>31</v>
      </c>
      <c r="E552">
        <v>43.769460000000002</v>
      </c>
      <c r="F552">
        <v>11.19172</v>
      </c>
      <c r="G552" s="1">
        <v>25290</v>
      </c>
      <c r="H552" s="1" t="s">
        <v>32</v>
      </c>
      <c r="I552">
        <v>43.81803</v>
      </c>
      <c r="J552">
        <v>11.211550000000001</v>
      </c>
      <c r="K552">
        <v>26</v>
      </c>
      <c r="L552">
        <v>38</v>
      </c>
      <c r="M552">
        <v>4377.3511296034876</v>
      </c>
      <c r="N552">
        <v>1</v>
      </c>
      <c r="O552">
        <v>38</v>
      </c>
    </row>
    <row r="553" spans="1:15" x14ac:dyDescent="0.25">
      <c r="A553">
        <v>150</v>
      </c>
      <c r="B553" t="s">
        <v>8</v>
      </c>
      <c r="C553" s="1">
        <v>25400</v>
      </c>
      <c r="D553" s="1" t="s">
        <v>31</v>
      </c>
      <c r="E553">
        <v>43.798690000000001</v>
      </c>
      <c r="F553">
        <v>11.20762</v>
      </c>
      <c r="G553" s="1">
        <v>25290</v>
      </c>
      <c r="H553" s="1" t="s">
        <v>32</v>
      </c>
      <c r="I553">
        <v>43.81803</v>
      </c>
      <c r="J553">
        <v>11.211550000000001</v>
      </c>
      <c r="K553">
        <v>5</v>
      </c>
      <c r="L553">
        <v>159.91999999999999</v>
      </c>
      <c r="M553">
        <v>2673.5625999799199</v>
      </c>
      <c r="N553">
        <v>2</v>
      </c>
      <c r="O553">
        <v>159.91999999999999</v>
      </c>
    </row>
    <row r="554" spans="1:15" x14ac:dyDescent="0.25">
      <c r="A554">
        <v>150</v>
      </c>
      <c r="B554" t="s">
        <v>8</v>
      </c>
      <c r="C554" s="1">
        <v>25400</v>
      </c>
      <c r="D554" s="1" t="s">
        <v>31</v>
      </c>
      <c r="E554">
        <v>43.798690000000001</v>
      </c>
      <c r="F554">
        <v>11.20762</v>
      </c>
      <c r="G554" s="1">
        <v>25398</v>
      </c>
      <c r="H554" s="1" t="s">
        <v>31</v>
      </c>
      <c r="I554">
        <v>43.769460000000002</v>
      </c>
      <c r="J554">
        <v>11.19172</v>
      </c>
      <c r="K554">
        <v>68</v>
      </c>
      <c r="L554">
        <v>961.4</v>
      </c>
      <c r="M554">
        <v>2989.529089068456</v>
      </c>
      <c r="N554">
        <v>2</v>
      </c>
      <c r="O554">
        <v>961.4</v>
      </c>
    </row>
    <row r="555" spans="1:15" x14ac:dyDescent="0.25">
      <c r="A555">
        <v>150</v>
      </c>
      <c r="B555" t="s">
        <v>8</v>
      </c>
      <c r="C555" s="1">
        <v>25401</v>
      </c>
      <c r="D555" s="1" t="s">
        <v>36</v>
      </c>
      <c r="E555">
        <v>43.87838</v>
      </c>
      <c r="F555">
        <v>11.103210000000001</v>
      </c>
      <c r="G555" s="1">
        <v>25290</v>
      </c>
      <c r="H555" s="1" t="s">
        <v>32</v>
      </c>
      <c r="I555">
        <v>43.81803</v>
      </c>
      <c r="J555">
        <v>11.211550000000001</v>
      </c>
      <c r="K555">
        <v>4</v>
      </c>
      <c r="L555">
        <v>58.8</v>
      </c>
      <c r="M555">
        <v>3767.2927545171601</v>
      </c>
      <c r="N555">
        <v>1</v>
      </c>
      <c r="O555">
        <v>58.8</v>
      </c>
    </row>
    <row r="556" spans="1:15" x14ac:dyDescent="0.25">
      <c r="A556">
        <v>150</v>
      </c>
      <c r="B556" t="s">
        <v>8</v>
      </c>
      <c r="C556" s="1">
        <v>25401</v>
      </c>
      <c r="D556" s="1" t="s">
        <v>36</v>
      </c>
      <c r="E556">
        <v>43.87838</v>
      </c>
      <c r="F556">
        <v>11.103210000000001</v>
      </c>
      <c r="G556" s="1">
        <v>25433</v>
      </c>
      <c r="H556" s="1" t="s">
        <v>44</v>
      </c>
      <c r="I556">
        <v>43.923850000000002</v>
      </c>
      <c r="J556">
        <v>11.03511</v>
      </c>
      <c r="K556">
        <v>18</v>
      </c>
      <c r="L556">
        <v>792</v>
      </c>
      <c r="M556">
        <v>2916.6137454326399</v>
      </c>
      <c r="N556">
        <v>1</v>
      </c>
      <c r="O556">
        <v>792</v>
      </c>
    </row>
    <row r="557" spans="1:15" x14ac:dyDescent="0.25">
      <c r="A557">
        <v>150</v>
      </c>
      <c r="B557" t="s">
        <v>8</v>
      </c>
      <c r="C557" s="1">
        <v>25421</v>
      </c>
      <c r="D557" s="1" t="s">
        <v>41</v>
      </c>
      <c r="E557">
        <v>43.619419999999998</v>
      </c>
      <c r="F557">
        <v>11.47508</v>
      </c>
      <c r="G557" s="1">
        <v>4142</v>
      </c>
      <c r="H557" s="1" t="s">
        <v>42</v>
      </c>
      <c r="I557">
        <v>43.529310000000002</v>
      </c>
      <c r="J557">
        <v>11.56737</v>
      </c>
      <c r="K557">
        <v>14</v>
      </c>
      <c r="L557">
        <v>86.4</v>
      </c>
      <c r="M557">
        <v>3645.7671817907999</v>
      </c>
      <c r="N557">
        <v>1</v>
      </c>
      <c r="O557">
        <v>86.4</v>
      </c>
    </row>
    <row r="558" spans="1:15" x14ac:dyDescent="0.25">
      <c r="A558">
        <v>150</v>
      </c>
      <c r="B558" t="s">
        <v>8</v>
      </c>
      <c r="C558" s="1">
        <v>25421</v>
      </c>
      <c r="D558" s="1" t="s">
        <v>41</v>
      </c>
      <c r="E558">
        <v>43.619419999999998</v>
      </c>
      <c r="F558">
        <v>11.47508</v>
      </c>
      <c r="G558" s="1">
        <v>4144</v>
      </c>
      <c r="H558" s="1" t="s">
        <v>38</v>
      </c>
      <c r="I558">
        <v>43.568049999999999</v>
      </c>
      <c r="J558">
        <v>11.529260000000001</v>
      </c>
      <c r="K558">
        <v>5</v>
      </c>
      <c r="L558">
        <v>194.4</v>
      </c>
      <c r="M558">
        <v>2187.4603090744799</v>
      </c>
      <c r="N558">
        <v>1</v>
      </c>
      <c r="O558">
        <v>194.4</v>
      </c>
    </row>
    <row r="559" spans="1:15" x14ac:dyDescent="0.25">
      <c r="A559">
        <v>150</v>
      </c>
      <c r="B559" t="s">
        <v>8</v>
      </c>
      <c r="C559" s="1">
        <v>32094</v>
      </c>
      <c r="D559" s="1" t="s">
        <v>54</v>
      </c>
      <c r="E559">
        <v>43.304879999999997</v>
      </c>
      <c r="F559">
        <v>10.5182</v>
      </c>
      <c r="G559" s="1">
        <v>32098</v>
      </c>
      <c r="H559" s="1" t="s">
        <v>50</v>
      </c>
      <c r="I559">
        <v>43.393940000000001</v>
      </c>
      <c r="J559">
        <v>10.43547</v>
      </c>
      <c r="K559">
        <v>7</v>
      </c>
      <c r="L559">
        <v>70.8</v>
      </c>
      <c r="M559">
        <v>2189.8908205290072</v>
      </c>
      <c r="N559">
        <v>1</v>
      </c>
      <c r="O559">
        <v>70.8</v>
      </c>
    </row>
    <row r="560" spans="1:15" x14ac:dyDescent="0.25">
      <c r="A560">
        <v>150</v>
      </c>
      <c r="B560" t="s">
        <v>8</v>
      </c>
      <c r="C560" s="1">
        <v>33212</v>
      </c>
      <c r="D560" s="1" t="s">
        <v>46</v>
      </c>
      <c r="E560">
        <v>43.844110000000001</v>
      </c>
      <c r="F560">
        <v>10.525460000000001</v>
      </c>
      <c r="G560" s="1">
        <v>77150</v>
      </c>
      <c r="H560" s="1" t="s">
        <v>46</v>
      </c>
      <c r="I560">
        <v>43.860230000000001</v>
      </c>
      <c r="J560">
        <v>10.51596</v>
      </c>
      <c r="K560">
        <v>2</v>
      </c>
      <c r="L560">
        <v>153</v>
      </c>
      <c r="M560">
        <v>1069.4250399919681</v>
      </c>
      <c r="N560">
        <v>1</v>
      </c>
      <c r="O560">
        <v>153</v>
      </c>
    </row>
    <row r="561" spans="1:15" x14ac:dyDescent="0.25">
      <c r="A561">
        <v>150</v>
      </c>
      <c r="B561" t="s">
        <v>8</v>
      </c>
      <c r="C561" s="1">
        <v>33214</v>
      </c>
      <c r="D561" s="1" t="s">
        <v>51</v>
      </c>
      <c r="E561">
        <v>43.868270000000003</v>
      </c>
      <c r="F561">
        <v>10.252879999999999</v>
      </c>
      <c r="G561" s="1">
        <v>33220</v>
      </c>
      <c r="H561" s="1" t="s">
        <v>39</v>
      </c>
      <c r="I561">
        <v>43.894159999999999</v>
      </c>
      <c r="J561">
        <v>10.22714</v>
      </c>
      <c r="K561">
        <v>3</v>
      </c>
      <c r="L561">
        <v>210.7</v>
      </c>
      <c r="M561">
        <v>4642.2768781469513</v>
      </c>
      <c r="N561">
        <v>4</v>
      </c>
      <c r="O561">
        <v>210.7</v>
      </c>
    </row>
    <row r="562" spans="1:15" x14ac:dyDescent="0.25">
      <c r="A562">
        <v>150</v>
      </c>
      <c r="B562" t="s">
        <v>8</v>
      </c>
      <c r="C562" s="1">
        <v>33218</v>
      </c>
      <c r="D562" s="1" t="s">
        <v>52</v>
      </c>
      <c r="E562">
        <v>44.033050000000003</v>
      </c>
      <c r="F562">
        <v>10.50367</v>
      </c>
      <c r="G562" s="1">
        <v>33219</v>
      </c>
      <c r="H562" s="1" t="s">
        <v>47</v>
      </c>
      <c r="I562">
        <v>44.110500000000002</v>
      </c>
      <c r="J562">
        <v>10.41159</v>
      </c>
      <c r="K562">
        <v>24</v>
      </c>
      <c r="L562">
        <v>358.49999999999989</v>
      </c>
      <c r="M562">
        <v>4131.8694726962403</v>
      </c>
      <c r="N562">
        <v>1</v>
      </c>
      <c r="O562">
        <v>358.5</v>
      </c>
    </row>
    <row r="563" spans="1:15" x14ac:dyDescent="0.25">
      <c r="A563">
        <v>150</v>
      </c>
      <c r="B563" t="s">
        <v>8</v>
      </c>
      <c r="C563" s="1">
        <v>33220</v>
      </c>
      <c r="D563" s="1" t="s">
        <v>39</v>
      </c>
      <c r="E563">
        <v>43.894159999999999</v>
      </c>
      <c r="F563">
        <v>10.22714</v>
      </c>
      <c r="G563" s="1">
        <v>33221</v>
      </c>
      <c r="H563" s="1" t="s">
        <v>40</v>
      </c>
      <c r="I563">
        <v>43.956339999999997</v>
      </c>
      <c r="J563">
        <v>10.22996</v>
      </c>
      <c r="K563">
        <v>5</v>
      </c>
      <c r="L563">
        <v>168.3</v>
      </c>
      <c r="M563">
        <v>10164.398902832751</v>
      </c>
      <c r="N563">
        <v>4</v>
      </c>
      <c r="O563">
        <v>168.3</v>
      </c>
    </row>
    <row r="564" spans="1:15" x14ac:dyDescent="0.25">
      <c r="A564">
        <v>150</v>
      </c>
      <c r="B564" t="s">
        <v>8</v>
      </c>
      <c r="C564" s="1">
        <v>4144</v>
      </c>
      <c r="D564" s="1" t="s">
        <v>38</v>
      </c>
      <c r="E564">
        <v>43.568049999999999</v>
      </c>
      <c r="F564">
        <v>11.529260000000001</v>
      </c>
      <c r="G564" s="1">
        <v>25421</v>
      </c>
      <c r="H564" s="1" t="s">
        <v>41</v>
      </c>
      <c r="I564">
        <v>43.619419999999998</v>
      </c>
      <c r="J564">
        <v>11.47508</v>
      </c>
      <c r="K564">
        <v>2</v>
      </c>
      <c r="L564">
        <v>82.6</v>
      </c>
      <c r="M564">
        <v>6691.1980343133819</v>
      </c>
      <c r="N564">
        <v>1</v>
      </c>
      <c r="O564">
        <v>82.6</v>
      </c>
    </row>
    <row r="565" spans="1:15" x14ac:dyDescent="0.25">
      <c r="A565">
        <v>150</v>
      </c>
      <c r="B565" t="s">
        <v>8</v>
      </c>
      <c r="C565" s="1">
        <v>4144</v>
      </c>
      <c r="D565" s="1" t="s">
        <v>38</v>
      </c>
      <c r="E565">
        <v>43.568049999999999</v>
      </c>
      <c r="F565">
        <v>11.529260000000001</v>
      </c>
      <c r="G565" s="1">
        <v>4142</v>
      </c>
      <c r="H565" s="1" t="s">
        <v>42</v>
      </c>
      <c r="I565">
        <v>43.529310000000002</v>
      </c>
      <c r="J565">
        <v>11.56737</v>
      </c>
      <c r="K565">
        <v>4</v>
      </c>
      <c r="L565">
        <v>244.6</v>
      </c>
      <c r="M565">
        <v>1458.30687271632</v>
      </c>
      <c r="N565">
        <v>1</v>
      </c>
      <c r="O565">
        <v>244.6</v>
      </c>
    </row>
    <row r="566" spans="1:15" x14ac:dyDescent="0.25">
      <c r="A566">
        <v>150</v>
      </c>
      <c r="B566" t="s">
        <v>8</v>
      </c>
      <c r="C566" s="1">
        <v>46445</v>
      </c>
      <c r="D566" s="1" t="s">
        <v>35</v>
      </c>
      <c r="E566">
        <v>43.10801</v>
      </c>
      <c r="F566">
        <v>12.377940000000001</v>
      </c>
      <c r="G566" s="1">
        <v>46468</v>
      </c>
      <c r="H566" s="1" t="s">
        <v>33</v>
      </c>
      <c r="I566">
        <v>43.116489999999999</v>
      </c>
      <c r="J566">
        <v>12.45126</v>
      </c>
      <c r="K566">
        <v>7</v>
      </c>
      <c r="L566">
        <v>369.4</v>
      </c>
      <c r="M566">
        <v>9381.7742144749918</v>
      </c>
      <c r="N566">
        <v>3</v>
      </c>
      <c r="O566">
        <v>369.4</v>
      </c>
    </row>
    <row r="567" spans="1:15" x14ac:dyDescent="0.25">
      <c r="A567">
        <v>150</v>
      </c>
      <c r="B567" t="s">
        <v>8</v>
      </c>
      <c r="C567" s="1">
        <v>46445</v>
      </c>
      <c r="D567" s="1" t="s">
        <v>35</v>
      </c>
      <c r="E567">
        <v>43.10801</v>
      </c>
      <c r="F567">
        <v>12.377940000000001</v>
      </c>
      <c r="G567" s="1">
        <v>46471</v>
      </c>
      <c r="H567" s="1" t="s">
        <v>34</v>
      </c>
      <c r="I567">
        <v>43.10031</v>
      </c>
      <c r="J567">
        <v>12.318519999999999</v>
      </c>
      <c r="K567">
        <v>11</v>
      </c>
      <c r="L567">
        <v>377</v>
      </c>
      <c r="M567">
        <v>5420.0405435956563</v>
      </c>
      <c r="N567">
        <v>3</v>
      </c>
      <c r="O567">
        <v>377</v>
      </c>
    </row>
    <row r="568" spans="1:15" x14ac:dyDescent="0.25">
      <c r="A568">
        <v>150</v>
      </c>
      <c r="B568" t="s">
        <v>8</v>
      </c>
      <c r="C568" s="1">
        <v>46471</v>
      </c>
      <c r="D568" s="1" t="s">
        <v>34</v>
      </c>
      <c r="E568">
        <v>43.10031</v>
      </c>
      <c r="F568">
        <v>12.318519999999999</v>
      </c>
      <c r="G568" s="1">
        <v>46445</v>
      </c>
      <c r="H568" s="1" t="s">
        <v>35</v>
      </c>
      <c r="I568">
        <v>43.10801</v>
      </c>
      <c r="J568">
        <v>12.377940000000001</v>
      </c>
      <c r="K568">
        <v>11</v>
      </c>
      <c r="L568">
        <v>678.88</v>
      </c>
      <c r="M568">
        <v>1701.35801816904</v>
      </c>
      <c r="N568">
        <v>1</v>
      </c>
      <c r="O568">
        <v>678.88</v>
      </c>
    </row>
    <row r="569" spans="1:15" x14ac:dyDescent="0.25">
      <c r="A569">
        <v>150</v>
      </c>
      <c r="B569" t="s">
        <v>8</v>
      </c>
      <c r="C569" s="1">
        <v>59131</v>
      </c>
      <c r="D569" s="1" t="s">
        <v>45</v>
      </c>
      <c r="E569">
        <v>43.331879999999998</v>
      </c>
      <c r="F569">
        <v>11.32122</v>
      </c>
      <c r="G569" s="1">
        <v>59157</v>
      </c>
      <c r="H569" s="1" t="s">
        <v>45</v>
      </c>
      <c r="I569">
        <v>43.29034</v>
      </c>
      <c r="J569">
        <v>11.33822</v>
      </c>
      <c r="K569">
        <v>20</v>
      </c>
      <c r="L569">
        <v>1303.42</v>
      </c>
      <c r="M569">
        <v>4.8610229090543999</v>
      </c>
      <c r="N569">
        <v>2</v>
      </c>
      <c r="O569">
        <v>1303.42</v>
      </c>
    </row>
    <row r="570" spans="1:15" x14ac:dyDescent="0.25">
      <c r="A570">
        <v>150</v>
      </c>
      <c r="B570" t="s">
        <v>8</v>
      </c>
      <c r="C570" s="1">
        <v>59157</v>
      </c>
      <c r="D570" s="1" t="s">
        <v>45</v>
      </c>
      <c r="E570">
        <v>43.29034</v>
      </c>
      <c r="F570">
        <v>11.33822</v>
      </c>
      <c r="G570" s="1">
        <v>59131</v>
      </c>
      <c r="H570" s="1" t="s">
        <v>45</v>
      </c>
      <c r="I570">
        <v>43.331879999999998</v>
      </c>
      <c r="J570">
        <v>11.32122</v>
      </c>
      <c r="K570">
        <v>7</v>
      </c>
      <c r="L570">
        <v>408.4</v>
      </c>
      <c r="M570">
        <v>2187.4603090744799</v>
      </c>
      <c r="N570">
        <v>1</v>
      </c>
      <c r="O570">
        <v>408.4</v>
      </c>
    </row>
    <row r="571" spans="1:15" x14ac:dyDescent="0.25">
      <c r="A571">
        <v>150</v>
      </c>
      <c r="B571" t="s">
        <v>8</v>
      </c>
      <c r="C571" s="1">
        <v>77343</v>
      </c>
      <c r="D571" s="1" t="s">
        <v>43</v>
      </c>
      <c r="E571">
        <v>42.812559999999998</v>
      </c>
      <c r="F571">
        <v>10.31758</v>
      </c>
      <c r="G571" s="1">
        <v>32095</v>
      </c>
      <c r="H571" s="1" t="s">
        <v>43</v>
      </c>
      <c r="I571">
        <v>42.810519999999997</v>
      </c>
      <c r="J571">
        <v>10.30799</v>
      </c>
      <c r="K571">
        <v>3</v>
      </c>
      <c r="L571">
        <v>273.7</v>
      </c>
      <c r="M571">
        <v>291.661374543264</v>
      </c>
      <c r="N571">
        <v>1</v>
      </c>
      <c r="O571">
        <v>273.7</v>
      </c>
    </row>
    <row r="572" spans="1:15" x14ac:dyDescent="0.25">
      <c r="A572">
        <v>150</v>
      </c>
      <c r="B572" t="s">
        <v>8</v>
      </c>
      <c r="C572" s="1">
        <v>85210</v>
      </c>
      <c r="D572" s="1" t="s">
        <v>49</v>
      </c>
      <c r="E572">
        <v>43.928640000000001</v>
      </c>
      <c r="F572">
        <v>10.9284</v>
      </c>
      <c r="G572" s="1">
        <v>77334</v>
      </c>
      <c r="H572" s="1" t="s">
        <v>49</v>
      </c>
      <c r="I572">
        <v>43.939680000000003</v>
      </c>
      <c r="J572">
        <v>10.943490000000001</v>
      </c>
      <c r="K572">
        <v>1</v>
      </c>
      <c r="L572">
        <v>37</v>
      </c>
      <c r="M572">
        <v>850.67900908451998</v>
      </c>
      <c r="N572">
        <v>1</v>
      </c>
      <c r="O572">
        <v>37</v>
      </c>
    </row>
    <row r="573" spans="1:15" x14ac:dyDescent="0.25">
      <c r="A573">
        <v>150</v>
      </c>
      <c r="B573" t="s">
        <v>8</v>
      </c>
      <c r="C573" s="1">
        <v>92197</v>
      </c>
      <c r="D573" s="1" t="s">
        <v>53</v>
      </c>
      <c r="E573">
        <v>42.570590000000003</v>
      </c>
      <c r="F573">
        <v>12.632300000000001</v>
      </c>
      <c r="G573" s="1">
        <v>92198</v>
      </c>
      <c r="H573" s="1" t="s">
        <v>48</v>
      </c>
      <c r="I573">
        <v>42.529159999999997</v>
      </c>
      <c r="J573">
        <v>12.51361</v>
      </c>
      <c r="K573">
        <v>25</v>
      </c>
      <c r="L573">
        <v>475</v>
      </c>
      <c r="M573">
        <v>7218.6190199457833</v>
      </c>
      <c r="N573">
        <v>2</v>
      </c>
      <c r="O573">
        <v>475</v>
      </c>
    </row>
    <row r="574" spans="1:15" x14ac:dyDescent="0.25">
      <c r="A574">
        <v>150</v>
      </c>
      <c r="B574" t="s">
        <v>9</v>
      </c>
      <c r="C574" s="1">
        <v>25290</v>
      </c>
      <c r="D574" s="1" t="s">
        <v>32</v>
      </c>
      <c r="E574">
        <v>43.81803</v>
      </c>
      <c r="F574">
        <v>11.211550000000001</v>
      </c>
      <c r="G574" s="1">
        <v>25239</v>
      </c>
      <c r="H574" s="1" t="s">
        <v>31</v>
      </c>
      <c r="I574">
        <v>43.77281</v>
      </c>
      <c r="J574">
        <v>11.29452</v>
      </c>
      <c r="K574">
        <v>130</v>
      </c>
      <c r="L574">
        <v>4987.1000000000004</v>
      </c>
      <c r="M574">
        <v>18228.835908953999</v>
      </c>
      <c r="N574">
        <v>5</v>
      </c>
      <c r="O574">
        <v>4987.1000000000004</v>
      </c>
    </row>
    <row r="575" spans="1:15" x14ac:dyDescent="0.25">
      <c r="A575">
        <v>150</v>
      </c>
      <c r="B575" t="s">
        <v>9</v>
      </c>
      <c r="C575" s="1">
        <v>25290</v>
      </c>
      <c r="D575" s="1" t="s">
        <v>32</v>
      </c>
      <c r="E575">
        <v>43.81803</v>
      </c>
      <c r="F575">
        <v>11.211550000000001</v>
      </c>
      <c r="G575" s="1">
        <v>25398</v>
      </c>
      <c r="H575" s="1" t="s">
        <v>31</v>
      </c>
      <c r="I575">
        <v>43.769460000000002</v>
      </c>
      <c r="J575">
        <v>11.19172</v>
      </c>
      <c r="K575">
        <v>35</v>
      </c>
      <c r="L575">
        <v>2019.72</v>
      </c>
      <c r="M575">
        <v>11182.78320227965</v>
      </c>
      <c r="N575">
        <v>4</v>
      </c>
      <c r="O575">
        <v>2019.72</v>
      </c>
    </row>
    <row r="576" spans="1:15" x14ac:dyDescent="0.25">
      <c r="A576">
        <v>150</v>
      </c>
      <c r="B576" t="s">
        <v>9</v>
      </c>
      <c r="C576" s="1">
        <v>25290</v>
      </c>
      <c r="D576" s="1" t="s">
        <v>32</v>
      </c>
      <c r="E576">
        <v>43.81803</v>
      </c>
      <c r="F576">
        <v>11.211550000000001</v>
      </c>
      <c r="G576" s="1">
        <v>25400</v>
      </c>
      <c r="H576" s="1" t="s">
        <v>31</v>
      </c>
      <c r="I576">
        <v>43.798690000000001</v>
      </c>
      <c r="J576">
        <v>11.20762</v>
      </c>
      <c r="K576">
        <v>73</v>
      </c>
      <c r="L576">
        <v>6189.96</v>
      </c>
      <c r="M576">
        <v>10086.622536287879</v>
      </c>
      <c r="N576">
        <v>7</v>
      </c>
      <c r="O576">
        <v>6189.96</v>
      </c>
    </row>
    <row r="577" spans="1:15" x14ac:dyDescent="0.25">
      <c r="A577">
        <v>150</v>
      </c>
      <c r="B577" t="s">
        <v>9</v>
      </c>
      <c r="C577" s="1">
        <v>25290</v>
      </c>
      <c r="D577" s="1" t="s">
        <v>32</v>
      </c>
      <c r="E577">
        <v>43.81803</v>
      </c>
      <c r="F577">
        <v>11.211550000000001</v>
      </c>
      <c r="G577" s="1">
        <v>25401</v>
      </c>
      <c r="H577" s="1" t="s">
        <v>36</v>
      </c>
      <c r="I577">
        <v>43.87838</v>
      </c>
      <c r="J577">
        <v>11.103210000000001</v>
      </c>
      <c r="K577">
        <v>155</v>
      </c>
      <c r="L577">
        <v>2791.3</v>
      </c>
      <c r="M577">
        <v>18690.63308531417</v>
      </c>
      <c r="N577">
        <v>5</v>
      </c>
      <c r="O577">
        <v>2791.3</v>
      </c>
    </row>
    <row r="578" spans="1:15" x14ac:dyDescent="0.25">
      <c r="A578">
        <v>150</v>
      </c>
      <c r="B578" t="s">
        <v>9</v>
      </c>
      <c r="C578" s="1">
        <v>25290</v>
      </c>
      <c r="D578" s="1" t="s">
        <v>32</v>
      </c>
      <c r="E578">
        <v>43.81803</v>
      </c>
      <c r="F578">
        <v>11.211550000000001</v>
      </c>
      <c r="G578" s="1">
        <v>25417</v>
      </c>
      <c r="H578" s="1" t="s">
        <v>37</v>
      </c>
      <c r="I578">
        <v>43.754040000000003</v>
      </c>
      <c r="J578">
        <v>11.32128</v>
      </c>
      <c r="K578">
        <v>64</v>
      </c>
      <c r="L578">
        <v>973.3</v>
      </c>
      <c r="M578">
        <v>14194.18689443885</v>
      </c>
      <c r="N578">
        <v>2</v>
      </c>
      <c r="O578">
        <v>973.3</v>
      </c>
    </row>
    <row r="579" spans="1:15" x14ac:dyDescent="0.25">
      <c r="A579">
        <v>150</v>
      </c>
      <c r="B579" t="s">
        <v>9</v>
      </c>
      <c r="C579" s="1">
        <v>25398</v>
      </c>
      <c r="D579" s="1" t="s">
        <v>31</v>
      </c>
      <c r="E579">
        <v>43.769460000000002</v>
      </c>
      <c r="F579">
        <v>11.19172</v>
      </c>
      <c r="G579" s="1">
        <v>25239</v>
      </c>
      <c r="H579" s="1" t="s">
        <v>31</v>
      </c>
      <c r="I579">
        <v>43.77281</v>
      </c>
      <c r="J579">
        <v>11.29452</v>
      </c>
      <c r="K579">
        <v>4</v>
      </c>
      <c r="L579">
        <v>134</v>
      </c>
      <c r="M579">
        <v>2916.6137454326399</v>
      </c>
      <c r="N579">
        <v>1</v>
      </c>
      <c r="O579">
        <v>134</v>
      </c>
    </row>
    <row r="580" spans="1:15" x14ac:dyDescent="0.25">
      <c r="A580">
        <v>150</v>
      </c>
      <c r="B580" t="s">
        <v>9</v>
      </c>
      <c r="C580" s="1">
        <v>25398</v>
      </c>
      <c r="D580" s="1" t="s">
        <v>31</v>
      </c>
      <c r="E580">
        <v>43.769460000000002</v>
      </c>
      <c r="F580">
        <v>11.19172</v>
      </c>
      <c r="G580" s="1">
        <v>25290</v>
      </c>
      <c r="H580" s="1" t="s">
        <v>32</v>
      </c>
      <c r="I580">
        <v>43.81803</v>
      </c>
      <c r="J580">
        <v>11.211550000000001</v>
      </c>
      <c r="K580">
        <v>26</v>
      </c>
      <c r="L580">
        <v>38</v>
      </c>
      <c r="M580">
        <v>4377.3511296034876</v>
      </c>
      <c r="N580">
        <v>1</v>
      </c>
      <c r="O580">
        <v>38</v>
      </c>
    </row>
    <row r="581" spans="1:15" x14ac:dyDescent="0.25">
      <c r="A581">
        <v>150</v>
      </c>
      <c r="B581" t="s">
        <v>9</v>
      </c>
      <c r="C581" s="1">
        <v>25400</v>
      </c>
      <c r="D581" s="1" t="s">
        <v>31</v>
      </c>
      <c r="E581">
        <v>43.798690000000001</v>
      </c>
      <c r="F581">
        <v>11.20762</v>
      </c>
      <c r="G581" s="1">
        <v>25290</v>
      </c>
      <c r="H581" s="1" t="s">
        <v>32</v>
      </c>
      <c r="I581">
        <v>43.81803</v>
      </c>
      <c r="J581">
        <v>11.211550000000001</v>
      </c>
      <c r="K581">
        <v>6</v>
      </c>
      <c r="L581">
        <v>159.91999999999999</v>
      </c>
      <c r="M581">
        <v>2673.5625999799199</v>
      </c>
      <c r="N581">
        <v>2</v>
      </c>
      <c r="O581">
        <v>159.91999999999999</v>
      </c>
    </row>
    <row r="582" spans="1:15" x14ac:dyDescent="0.25">
      <c r="A582">
        <v>150</v>
      </c>
      <c r="B582" t="s">
        <v>9</v>
      </c>
      <c r="C582" s="1">
        <v>25400</v>
      </c>
      <c r="D582" s="1" t="s">
        <v>31</v>
      </c>
      <c r="E582">
        <v>43.798690000000001</v>
      </c>
      <c r="F582">
        <v>11.20762</v>
      </c>
      <c r="G582" s="1">
        <v>25398</v>
      </c>
      <c r="H582" s="1" t="s">
        <v>31</v>
      </c>
      <c r="I582">
        <v>43.769460000000002</v>
      </c>
      <c r="J582">
        <v>11.19172</v>
      </c>
      <c r="K582">
        <v>68</v>
      </c>
      <c r="L582">
        <v>961.4</v>
      </c>
      <c r="M582">
        <v>2989.529089068456</v>
      </c>
      <c r="N582">
        <v>2</v>
      </c>
      <c r="O582">
        <v>961.4</v>
      </c>
    </row>
    <row r="583" spans="1:15" x14ac:dyDescent="0.25">
      <c r="A583">
        <v>150</v>
      </c>
      <c r="B583" t="s">
        <v>9</v>
      </c>
      <c r="C583" s="1">
        <v>25401</v>
      </c>
      <c r="D583" s="1" t="s">
        <v>36</v>
      </c>
      <c r="E583">
        <v>43.87838</v>
      </c>
      <c r="F583">
        <v>11.103210000000001</v>
      </c>
      <c r="G583" s="1">
        <v>25290</v>
      </c>
      <c r="H583" s="1" t="s">
        <v>32</v>
      </c>
      <c r="I583">
        <v>43.81803</v>
      </c>
      <c r="J583">
        <v>11.211550000000001</v>
      </c>
      <c r="K583">
        <v>4</v>
      </c>
      <c r="L583">
        <v>58.8</v>
      </c>
      <c r="M583">
        <v>3767.2927545171601</v>
      </c>
      <c r="N583">
        <v>1</v>
      </c>
      <c r="O583">
        <v>58.8</v>
      </c>
    </row>
    <row r="584" spans="1:15" x14ac:dyDescent="0.25">
      <c r="A584">
        <v>150</v>
      </c>
      <c r="B584" t="s">
        <v>9</v>
      </c>
      <c r="C584" s="1">
        <v>25401</v>
      </c>
      <c r="D584" s="1" t="s">
        <v>36</v>
      </c>
      <c r="E584">
        <v>43.87838</v>
      </c>
      <c r="F584">
        <v>11.103210000000001</v>
      </c>
      <c r="G584" s="1">
        <v>25433</v>
      </c>
      <c r="H584" s="1" t="s">
        <v>44</v>
      </c>
      <c r="I584">
        <v>43.923850000000002</v>
      </c>
      <c r="J584">
        <v>11.03511</v>
      </c>
      <c r="K584">
        <v>18</v>
      </c>
      <c r="L584">
        <v>792</v>
      </c>
      <c r="M584">
        <v>2916.6137454326399</v>
      </c>
      <c r="N584">
        <v>1</v>
      </c>
      <c r="O584">
        <v>792</v>
      </c>
    </row>
    <row r="585" spans="1:15" x14ac:dyDescent="0.25">
      <c r="A585">
        <v>150</v>
      </c>
      <c r="B585" t="s">
        <v>9</v>
      </c>
      <c r="C585" s="1">
        <v>25421</v>
      </c>
      <c r="D585" s="1" t="s">
        <v>41</v>
      </c>
      <c r="E585">
        <v>43.619419999999998</v>
      </c>
      <c r="F585">
        <v>11.47508</v>
      </c>
      <c r="G585" s="1">
        <v>4142</v>
      </c>
      <c r="H585" s="1" t="s">
        <v>42</v>
      </c>
      <c r="I585">
        <v>43.529310000000002</v>
      </c>
      <c r="J585">
        <v>11.56737</v>
      </c>
      <c r="K585">
        <v>14</v>
      </c>
      <c r="L585">
        <v>86.4</v>
      </c>
      <c r="M585">
        <v>3645.7671817907999</v>
      </c>
      <c r="N585">
        <v>1</v>
      </c>
      <c r="O585">
        <v>86.4</v>
      </c>
    </row>
    <row r="586" spans="1:15" x14ac:dyDescent="0.25">
      <c r="A586">
        <v>150</v>
      </c>
      <c r="B586" t="s">
        <v>9</v>
      </c>
      <c r="C586" s="1">
        <v>25421</v>
      </c>
      <c r="D586" s="1" t="s">
        <v>41</v>
      </c>
      <c r="E586">
        <v>43.619419999999998</v>
      </c>
      <c r="F586">
        <v>11.47508</v>
      </c>
      <c r="G586" s="1">
        <v>4144</v>
      </c>
      <c r="H586" s="1" t="s">
        <v>38</v>
      </c>
      <c r="I586">
        <v>43.568049999999999</v>
      </c>
      <c r="J586">
        <v>11.529260000000001</v>
      </c>
      <c r="K586">
        <v>5</v>
      </c>
      <c r="L586">
        <v>194.4</v>
      </c>
      <c r="M586">
        <v>2187.4603090744799</v>
      </c>
      <c r="N586">
        <v>1</v>
      </c>
      <c r="O586">
        <v>194.4</v>
      </c>
    </row>
    <row r="587" spans="1:15" x14ac:dyDescent="0.25">
      <c r="A587">
        <v>150</v>
      </c>
      <c r="B587" t="s">
        <v>9</v>
      </c>
      <c r="C587" s="1">
        <v>32094</v>
      </c>
      <c r="D587" s="1" t="s">
        <v>54</v>
      </c>
      <c r="E587">
        <v>43.304879999999997</v>
      </c>
      <c r="F587">
        <v>10.5182</v>
      </c>
      <c r="G587" s="1">
        <v>32098</v>
      </c>
      <c r="H587" s="1" t="s">
        <v>50</v>
      </c>
      <c r="I587">
        <v>43.393940000000001</v>
      </c>
      <c r="J587">
        <v>10.43547</v>
      </c>
      <c r="K587">
        <v>7</v>
      </c>
      <c r="L587">
        <v>70.8</v>
      </c>
      <c r="M587">
        <v>2189.8908205290072</v>
      </c>
      <c r="N587">
        <v>1</v>
      </c>
      <c r="O587">
        <v>70.8</v>
      </c>
    </row>
    <row r="588" spans="1:15" x14ac:dyDescent="0.25">
      <c r="A588">
        <v>150</v>
      </c>
      <c r="B588" t="s">
        <v>9</v>
      </c>
      <c r="C588" s="1">
        <v>33212</v>
      </c>
      <c r="D588" s="1" t="s">
        <v>46</v>
      </c>
      <c r="E588">
        <v>43.844110000000001</v>
      </c>
      <c r="F588">
        <v>10.525460000000001</v>
      </c>
      <c r="G588" s="1">
        <v>77150</v>
      </c>
      <c r="H588" s="1" t="s">
        <v>46</v>
      </c>
      <c r="I588">
        <v>43.860230000000001</v>
      </c>
      <c r="J588">
        <v>10.51596</v>
      </c>
      <c r="K588">
        <v>2</v>
      </c>
      <c r="L588">
        <v>153</v>
      </c>
      <c r="M588">
        <v>1069.4250399919681</v>
      </c>
      <c r="N588">
        <v>1</v>
      </c>
      <c r="O588">
        <v>153</v>
      </c>
    </row>
    <row r="589" spans="1:15" x14ac:dyDescent="0.25">
      <c r="A589">
        <v>150</v>
      </c>
      <c r="B589" t="s">
        <v>9</v>
      </c>
      <c r="C589" s="1">
        <v>33214</v>
      </c>
      <c r="D589" s="1" t="s">
        <v>51</v>
      </c>
      <c r="E589">
        <v>43.868270000000003</v>
      </c>
      <c r="F589">
        <v>10.252879999999999</v>
      </c>
      <c r="G589" s="1">
        <v>33220</v>
      </c>
      <c r="H589" s="1" t="s">
        <v>39</v>
      </c>
      <c r="I589">
        <v>43.894159999999999</v>
      </c>
      <c r="J589">
        <v>10.22714</v>
      </c>
      <c r="K589">
        <v>3</v>
      </c>
      <c r="L589">
        <v>210.7</v>
      </c>
      <c r="M589">
        <v>4642.2768781469513</v>
      </c>
      <c r="N589">
        <v>4</v>
      </c>
      <c r="O589">
        <v>210.7</v>
      </c>
    </row>
    <row r="590" spans="1:15" x14ac:dyDescent="0.25">
      <c r="A590">
        <v>150</v>
      </c>
      <c r="B590" t="s">
        <v>9</v>
      </c>
      <c r="C590" s="1">
        <v>33218</v>
      </c>
      <c r="D590" s="1" t="s">
        <v>52</v>
      </c>
      <c r="E590">
        <v>44.033050000000003</v>
      </c>
      <c r="F590">
        <v>10.50367</v>
      </c>
      <c r="G590" s="1">
        <v>33219</v>
      </c>
      <c r="H590" s="1" t="s">
        <v>47</v>
      </c>
      <c r="I590">
        <v>44.110500000000002</v>
      </c>
      <c r="J590">
        <v>10.41159</v>
      </c>
      <c r="K590">
        <v>24</v>
      </c>
      <c r="L590">
        <v>358.49999999999989</v>
      </c>
      <c r="M590">
        <v>4131.8694726962403</v>
      </c>
      <c r="N590">
        <v>1</v>
      </c>
      <c r="O590">
        <v>358.5</v>
      </c>
    </row>
    <row r="591" spans="1:15" x14ac:dyDescent="0.25">
      <c r="A591">
        <v>150</v>
      </c>
      <c r="B591" t="s">
        <v>9</v>
      </c>
      <c r="C591" s="1">
        <v>33220</v>
      </c>
      <c r="D591" s="1" t="s">
        <v>39</v>
      </c>
      <c r="E591">
        <v>43.894159999999999</v>
      </c>
      <c r="F591">
        <v>10.22714</v>
      </c>
      <c r="G591" s="1">
        <v>33221</v>
      </c>
      <c r="H591" s="1" t="s">
        <v>40</v>
      </c>
      <c r="I591">
        <v>43.956339999999997</v>
      </c>
      <c r="J591">
        <v>10.22996</v>
      </c>
      <c r="K591">
        <v>5</v>
      </c>
      <c r="L591">
        <v>168.3</v>
      </c>
      <c r="M591">
        <v>10164.398902832751</v>
      </c>
      <c r="N591">
        <v>4</v>
      </c>
      <c r="O591">
        <v>168.3</v>
      </c>
    </row>
    <row r="592" spans="1:15" x14ac:dyDescent="0.25">
      <c r="A592">
        <v>150</v>
      </c>
      <c r="B592" t="s">
        <v>9</v>
      </c>
      <c r="C592" s="1">
        <v>4144</v>
      </c>
      <c r="D592" s="1" t="s">
        <v>38</v>
      </c>
      <c r="E592">
        <v>43.568049999999999</v>
      </c>
      <c r="F592">
        <v>11.529260000000001</v>
      </c>
      <c r="G592" s="1">
        <v>25421</v>
      </c>
      <c r="H592" s="1" t="s">
        <v>41</v>
      </c>
      <c r="I592">
        <v>43.619419999999998</v>
      </c>
      <c r="J592">
        <v>11.47508</v>
      </c>
      <c r="K592">
        <v>2</v>
      </c>
      <c r="L592">
        <v>82.6</v>
      </c>
      <c r="M592">
        <v>6691.1980343133819</v>
      </c>
      <c r="N592">
        <v>1</v>
      </c>
      <c r="O592">
        <v>82.6</v>
      </c>
    </row>
    <row r="593" spans="1:15" x14ac:dyDescent="0.25">
      <c r="A593">
        <v>150</v>
      </c>
      <c r="B593" t="s">
        <v>9</v>
      </c>
      <c r="C593" s="1">
        <v>4144</v>
      </c>
      <c r="D593" s="1" t="s">
        <v>38</v>
      </c>
      <c r="E593">
        <v>43.568049999999999</v>
      </c>
      <c r="F593">
        <v>11.529260000000001</v>
      </c>
      <c r="G593" s="1">
        <v>4142</v>
      </c>
      <c r="H593" s="1" t="s">
        <v>42</v>
      </c>
      <c r="I593">
        <v>43.529310000000002</v>
      </c>
      <c r="J593">
        <v>11.56737</v>
      </c>
      <c r="K593">
        <v>4</v>
      </c>
      <c r="L593">
        <v>244.6</v>
      </c>
      <c r="M593">
        <v>1458.30687271632</v>
      </c>
      <c r="N593">
        <v>1</v>
      </c>
      <c r="O593">
        <v>244.6</v>
      </c>
    </row>
    <row r="594" spans="1:15" x14ac:dyDescent="0.25">
      <c r="A594">
        <v>150</v>
      </c>
      <c r="B594" t="s">
        <v>9</v>
      </c>
      <c r="C594" s="1">
        <v>46445</v>
      </c>
      <c r="D594" s="1" t="s">
        <v>35</v>
      </c>
      <c r="E594">
        <v>43.10801</v>
      </c>
      <c r="F594">
        <v>12.377940000000001</v>
      </c>
      <c r="G594" s="1">
        <v>46468</v>
      </c>
      <c r="H594" s="1" t="s">
        <v>33</v>
      </c>
      <c r="I594">
        <v>43.116489999999999</v>
      </c>
      <c r="J594">
        <v>12.45126</v>
      </c>
      <c r="K594">
        <v>7</v>
      </c>
      <c r="L594">
        <v>369.4</v>
      </c>
      <c r="M594">
        <v>9381.7742144749918</v>
      </c>
      <c r="N594">
        <v>3</v>
      </c>
      <c r="O594">
        <v>369.4</v>
      </c>
    </row>
    <row r="595" spans="1:15" x14ac:dyDescent="0.25">
      <c r="A595">
        <v>150</v>
      </c>
      <c r="B595" t="s">
        <v>9</v>
      </c>
      <c r="C595" s="1">
        <v>46445</v>
      </c>
      <c r="D595" s="1" t="s">
        <v>35</v>
      </c>
      <c r="E595">
        <v>43.10801</v>
      </c>
      <c r="F595">
        <v>12.377940000000001</v>
      </c>
      <c r="G595" s="1">
        <v>46471</v>
      </c>
      <c r="H595" s="1" t="s">
        <v>34</v>
      </c>
      <c r="I595">
        <v>43.10031</v>
      </c>
      <c r="J595">
        <v>12.318519999999999</v>
      </c>
      <c r="K595">
        <v>11</v>
      </c>
      <c r="L595">
        <v>377</v>
      </c>
      <c r="M595">
        <v>5420.0405435956563</v>
      </c>
      <c r="N595">
        <v>3</v>
      </c>
      <c r="O595">
        <v>377</v>
      </c>
    </row>
    <row r="596" spans="1:15" x14ac:dyDescent="0.25">
      <c r="A596">
        <v>150</v>
      </c>
      <c r="B596" t="s">
        <v>9</v>
      </c>
      <c r="C596" s="1">
        <v>46471</v>
      </c>
      <c r="D596" s="1" t="s">
        <v>34</v>
      </c>
      <c r="E596">
        <v>43.10031</v>
      </c>
      <c r="F596">
        <v>12.318519999999999</v>
      </c>
      <c r="G596" s="1">
        <v>46445</v>
      </c>
      <c r="H596" s="1" t="s">
        <v>35</v>
      </c>
      <c r="I596">
        <v>43.10801</v>
      </c>
      <c r="J596">
        <v>12.377940000000001</v>
      </c>
      <c r="K596">
        <v>11</v>
      </c>
      <c r="L596">
        <v>678.88</v>
      </c>
      <c r="M596">
        <v>1701.35801816904</v>
      </c>
      <c r="N596">
        <v>1</v>
      </c>
      <c r="O596">
        <v>678.88</v>
      </c>
    </row>
    <row r="597" spans="1:15" x14ac:dyDescent="0.25">
      <c r="A597">
        <v>150</v>
      </c>
      <c r="B597" t="s">
        <v>9</v>
      </c>
      <c r="C597" s="1">
        <v>59131</v>
      </c>
      <c r="D597" s="1" t="s">
        <v>45</v>
      </c>
      <c r="E597">
        <v>43.331879999999998</v>
      </c>
      <c r="F597">
        <v>11.32122</v>
      </c>
      <c r="G597" s="1">
        <v>59157</v>
      </c>
      <c r="H597" s="1" t="s">
        <v>45</v>
      </c>
      <c r="I597">
        <v>43.29034</v>
      </c>
      <c r="J597">
        <v>11.33822</v>
      </c>
      <c r="K597">
        <v>20</v>
      </c>
      <c r="L597">
        <v>1303.42</v>
      </c>
      <c r="M597">
        <v>4.8610229090543999</v>
      </c>
      <c r="N597">
        <v>2</v>
      </c>
      <c r="O597">
        <v>1303.42</v>
      </c>
    </row>
    <row r="598" spans="1:15" x14ac:dyDescent="0.25">
      <c r="A598">
        <v>150</v>
      </c>
      <c r="B598" t="s">
        <v>9</v>
      </c>
      <c r="C598" s="1">
        <v>59157</v>
      </c>
      <c r="D598" s="1" t="s">
        <v>45</v>
      </c>
      <c r="E598">
        <v>43.29034</v>
      </c>
      <c r="F598">
        <v>11.33822</v>
      </c>
      <c r="G598" s="1">
        <v>59131</v>
      </c>
      <c r="H598" s="1" t="s">
        <v>45</v>
      </c>
      <c r="I598">
        <v>43.331879999999998</v>
      </c>
      <c r="J598">
        <v>11.32122</v>
      </c>
      <c r="K598">
        <v>7</v>
      </c>
      <c r="L598">
        <v>408.4</v>
      </c>
      <c r="M598">
        <v>2187.4603090744799</v>
      </c>
      <c r="N598">
        <v>1</v>
      </c>
      <c r="O598">
        <v>408.4</v>
      </c>
    </row>
    <row r="599" spans="1:15" x14ac:dyDescent="0.25">
      <c r="A599">
        <v>150</v>
      </c>
      <c r="B599" t="s">
        <v>9</v>
      </c>
      <c r="C599" s="1">
        <v>77343</v>
      </c>
      <c r="D599" s="1" t="s">
        <v>43</v>
      </c>
      <c r="E599">
        <v>42.812559999999998</v>
      </c>
      <c r="F599">
        <v>10.31758</v>
      </c>
      <c r="G599" s="1">
        <v>32095</v>
      </c>
      <c r="H599" s="1" t="s">
        <v>43</v>
      </c>
      <c r="I599">
        <v>42.810519999999997</v>
      </c>
      <c r="J599">
        <v>10.30799</v>
      </c>
      <c r="K599">
        <v>3</v>
      </c>
      <c r="L599">
        <v>273.7</v>
      </c>
      <c r="M599">
        <v>291.661374543264</v>
      </c>
      <c r="N599">
        <v>1</v>
      </c>
      <c r="O599">
        <v>273.7</v>
      </c>
    </row>
    <row r="600" spans="1:15" x14ac:dyDescent="0.25">
      <c r="A600">
        <v>150</v>
      </c>
      <c r="B600" t="s">
        <v>9</v>
      </c>
      <c r="C600" s="1">
        <v>85210</v>
      </c>
      <c r="D600" s="1" t="s">
        <v>49</v>
      </c>
      <c r="E600">
        <v>43.928640000000001</v>
      </c>
      <c r="F600">
        <v>10.9284</v>
      </c>
      <c r="G600" s="1">
        <v>77334</v>
      </c>
      <c r="H600" s="1" t="s">
        <v>49</v>
      </c>
      <c r="I600">
        <v>43.939680000000003</v>
      </c>
      <c r="J600">
        <v>10.943490000000001</v>
      </c>
      <c r="K600">
        <v>1</v>
      </c>
      <c r="L600">
        <v>37</v>
      </c>
      <c r="M600">
        <v>850.67900908451998</v>
      </c>
      <c r="N600">
        <v>1</v>
      </c>
      <c r="O600">
        <v>37</v>
      </c>
    </row>
    <row r="601" spans="1:15" x14ac:dyDescent="0.25">
      <c r="A601">
        <v>150</v>
      </c>
      <c r="B601" t="s">
        <v>9</v>
      </c>
      <c r="C601" s="1">
        <v>92197</v>
      </c>
      <c r="D601" s="1" t="s">
        <v>53</v>
      </c>
      <c r="E601">
        <v>42.570590000000003</v>
      </c>
      <c r="F601">
        <v>12.632300000000001</v>
      </c>
      <c r="G601" s="1">
        <v>92198</v>
      </c>
      <c r="H601" s="1" t="s">
        <v>48</v>
      </c>
      <c r="I601">
        <v>42.529159999999997</v>
      </c>
      <c r="J601">
        <v>12.51361</v>
      </c>
      <c r="K601">
        <v>25</v>
      </c>
      <c r="L601">
        <v>475</v>
      </c>
      <c r="M601">
        <v>7218.6190199457833</v>
      </c>
      <c r="N601">
        <v>2</v>
      </c>
      <c r="O601">
        <v>475</v>
      </c>
    </row>
    <row r="602" spans="1:15" x14ac:dyDescent="0.25">
      <c r="A602">
        <v>170</v>
      </c>
      <c r="B602" t="s">
        <v>7</v>
      </c>
      <c r="C602" s="1">
        <v>25290</v>
      </c>
      <c r="D602" s="1" t="s">
        <v>32</v>
      </c>
      <c r="E602">
        <v>43.81803</v>
      </c>
      <c r="F602">
        <v>11.211550000000001</v>
      </c>
      <c r="G602" s="1">
        <v>25239</v>
      </c>
      <c r="H602" s="1" t="s">
        <v>31</v>
      </c>
      <c r="I602">
        <v>43.77281</v>
      </c>
      <c r="J602">
        <v>11.29452</v>
      </c>
      <c r="K602">
        <v>130</v>
      </c>
      <c r="L602">
        <v>4987.1000000000004</v>
      </c>
      <c r="M602">
        <v>18228.835908953999</v>
      </c>
      <c r="N602">
        <v>5</v>
      </c>
      <c r="O602">
        <v>4987.1000000000004</v>
      </c>
    </row>
    <row r="603" spans="1:15" x14ac:dyDescent="0.25">
      <c r="A603">
        <v>170</v>
      </c>
      <c r="B603" t="s">
        <v>7</v>
      </c>
      <c r="C603" s="1">
        <v>25290</v>
      </c>
      <c r="D603" s="1" t="s">
        <v>32</v>
      </c>
      <c r="E603">
        <v>43.81803</v>
      </c>
      <c r="F603">
        <v>11.211550000000001</v>
      </c>
      <c r="G603" s="1">
        <v>25398</v>
      </c>
      <c r="H603" s="1" t="s">
        <v>31</v>
      </c>
      <c r="I603">
        <v>43.769460000000002</v>
      </c>
      <c r="J603">
        <v>11.19172</v>
      </c>
      <c r="K603">
        <v>35</v>
      </c>
      <c r="L603">
        <v>2019.72</v>
      </c>
      <c r="M603">
        <v>11182.78320227965</v>
      </c>
      <c r="N603">
        <v>4</v>
      </c>
      <c r="O603">
        <v>2019.72</v>
      </c>
    </row>
    <row r="604" spans="1:15" x14ac:dyDescent="0.25">
      <c r="A604">
        <v>170</v>
      </c>
      <c r="B604" t="s">
        <v>7</v>
      </c>
      <c r="C604" s="1">
        <v>25290</v>
      </c>
      <c r="D604" s="1" t="s">
        <v>32</v>
      </c>
      <c r="E604">
        <v>43.81803</v>
      </c>
      <c r="F604">
        <v>11.211550000000001</v>
      </c>
      <c r="G604" s="1">
        <v>25400</v>
      </c>
      <c r="H604" s="1" t="s">
        <v>31</v>
      </c>
      <c r="I604">
        <v>43.798690000000001</v>
      </c>
      <c r="J604">
        <v>11.20762</v>
      </c>
      <c r="K604">
        <v>168.00000000994399</v>
      </c>
      <c r="L604">
        <v>6189.96</v>
      </c>
      <c r="M604">
        <v>10086.622536287879</v>
      </c>
      <c r="N604">
        <v>7</v>
      </c>
      <c r="O604">
        <v>6189.96</v>
      </c>
    </row>
    <row r="605" spans="1:15" x14ac:dyDescent="0.25">
      <c r="A605">
        <v>170</v>
      </c>
      <c r="B605" t="s">
        <v>7</v>
      </c>
      <c r="C605" s="1">
        <v>25290</v>
      </c>
      <c r="D605" s="1" t="s">
        <v>32</v>
      </c>
      <c r="E605">
        <v>43.81803</v>
      </c>
      <c r="F605">
        <v>11.211550000000001</v>
      </c>
      <c r="G605" s="1">
        <v>25401</v>
      </c>
      <c r="H605" s="1" t="s">
        <v>36</v>
      </c>
      <c r="I605">
        <v>43.87838</v>
      </c>
      <c r="J605">
        <v>11.103210000000001</v>
      </c>
      <c r="K605">
        <v>155</v>
      </c>
      <c r="L605">
        <v>2791.3</v>
      </c>
      <c r="M605">
        <v>18690.63308531417</v>
      </c>
      <c r="N605">
        <v>5</v>
      </c>
      <c r="O605">
        <v>2791.3</v>
      </c>
    </row>
    <row r="606" spans="1:15" x14ac:dyDescent="0.25">
      <c r="A606">
        <v>170</v>
      </c>
      <c r="B606" t="s">
        <v>7</v>
      </c>
      <c r="C606" s="1">
        <v>25290</v>
      </c>
      <c r="D606" s="1" t="s">
        <v>32</v>
      </c>
      <c r="E606">
        <v>43.81803</v>
      </c>
      <c r="F606">
        <v>11.211550000000001</v>
      </c>
      <c r="G606" s="1">
        <v>25417</v>
      </c>
      <c r="H606" s="1" t="s">
        <v>37</v>
      </c>
      <c r="I606">
        <v>43.754040000000003</v>
      </c>
      <c r="J606">
        <v>11.32128</v>
      </c>
      <c r="K606">
        <v>64</v>
      </c>
      <c r="L606">
        <v>973.3</v>
      </c>
      <c r="M606">
        <v>14194.18689443885</v>
      </c>
      <c r="N606">
        <v>2</v>
      </c>
      <c r="O606">
        <v>973.3</v>
      </c>
    </row>
    <row r="607" spans="1:15" x14ac:dyDescent="0.25">
      <c r="A607">
        <v>170</v>
      </c>
      <c r="B607" t="s">
        <v>7</v>
      </c>
      <c r="C607" s="1">
        <v>25398</v>
      </c>
      <c r="D607" s="1" t="s">
        <v>31</v>
      </c>
      <c r="E607">
        <v>43.769460000000002</v>
      </c>
      <c r="F607">
        <v>11.19172</v>
      </c>
      <c r="G607" s="1">
        <v>25239</v>
      </c>
      <c r="H607" s="1" t="s">
        <v>31</v>
      </c>
      <c r="I607">
        <v>43.77281</v>
      </c>
      <c r="J607">
        <v>11.29452</v>
      </c>
      <c r="K607">
        <v>4</v>
      </c>
      <c r="L607">
        <v>134</v>
      </c>
      <c r="M607">
        <v>2916.6137454326399</v>
      </c>
      <c r="N607">
        <v>1</v>
      </c>
      <c r="O607">
        <v>134</v>
      </c>
    </row>
    <row r="608" spans="1:15" x14ac:dyDescent="0.25">
      <c r="A608">
        <v>170</v>
      </c>
      <c r="B608" t="s">
        <v>7</v>
      </c>
      <c r="C608" s="1">
        <v>25398</v>
      </c>
      <c r="D608" s="1" t="s">
        <v>31</v>
      </c>
      <c r="E608">
        <v>43.769460000000002</v>
      </c>
      <c r="F608">
        <v>11.19172</v>
      </c>
      <c r="G608" s="1">
        <v>25290</v>
      </c>
      <c r="H608" s="1" t="s">
        <v>32</v>
      </c>
      <c r="I608">
        <v>43.81803</v>
      </c>
      <c r="J608">
        <v>11.211550000000001</v>
      </c>
      <c r="K608">
        <v>26</v>
      </c>
      <c r="L608">
        <v>38</v>
      </c>
      <c r="M608">
        <v>4377.3511296034876</v>
      </c>
      <c r="N608">
        <v>1</v>
      </c>
      <c r="O608">
        <v>38</v>
      </c>
    </row>
    <row r="609" spans="1:15" x14ac:dyDescent="0.25">
      <c r="A609">
        <v>170</v>
      </c>
      <c r="B609" t="s">
        <v>7</v>
      </c>
      <c r="C609" s="1">
        <v>25400</v>
      </c>
      <c r="D609" s="1" t="s">
        <v>31</v>
      </c>
      <c r="E609">
        <v>43.798690000000001</v>
      </c>
      <c r="F609">
        <v>11.20762</v>
      </c>
      <c r="G609" s="1">
        <v>25290</v>
      </c>
      <c r="H609" s="1" t="s">
        <v>32</v>
      </c>
      <c r="I609">
        <v>43.81803</v>
      </c>
      <c r="J609">
        <v>11.211550000000001</v>
      </c>
      <c r="K609">
        <v>155.00000000995689</v>
      </c>
      <c r="L609">
        <v>159.91999999999999</v>
      </c>
      <c r="M609">
        <v>2673.5625999799199</v>
      </c>
      <c r="N609">
        <v>2</v>
      </c>
      <c r="O609">
        <v>159.91999999999999</v>
      </c>
    </row>
    <row r="610" spans="1:15" x14ac:dyDescent="0.25">
      <c r="A610">
        <v>170</v>
      </c>
      <c r="B610" t="s">
        <v>7</v>
      </c>
      <c r="C610" s="1">
        <v>25400</v>
      </c>
      <c r="D610" s="1" t="s">
        <v>31</v>
      </c>
      <c r="E610">
        <v>43.798690000000001</v>
      </c>
      <c r="F610">
        <v>11.20762</v>
      </c>
      <c r="G610" s="1">
        <v>25398</v>
      </c>
      <c r="H610" s="1" t="s">
        <v>31</v>
      </c>
      <c r="I610">
        <v>43.769460000000002</v>
      </c>
      <c r="J610">
        <v>11.19172</v>
      </c>
      <c r="K610">
        <v>13</v>
      </c>
      <c r="L610">
        <v>961.4</v>
      </c>
      <c r="M610">
        <v>2989.529089068456</v>
      </c>
      <c r="N610">
        <v>2</v>
      </c>
      <c r="O610">
        <v>961.4</v>
      </c>
    </row>
    <row r="611" spans="1:15" x14ac:dyDescent="0.25">
      <c r="A611">
        <v>170</v>
      </c>
      <c r="B611" t="s">
        <v>7</v>
      </c>
      <c r="C611" s="1">
        <v>25401</v>
      </c>
      <c r="D611" s="1" t="s">
        <v>36</v>
      </c>
      <c r="E611">
        <v>43.87838</v>
      </c>
      <c r="F611">
        <v>11.103210000000001</v>
      </c>
      <c r="G611" s="1">
        <v>25290</v>
      </c>
      <c r="H611" s="1" t="s">
        <v>32</v>
      </c>
      <c r="I611">
        <v>43.81803</v>
      </c>
      <c r="J611">
        <v>11.211550000000001</v>
      </c>
      <c r="K611">
        <v>3.9999999900789671</v>
      </c>
      <c r="L611">
        <v>58.8</v>
      </c>
      <c r="M611">
        <v>3767.2927545171601</v>
      </c>
      <c r="N611">
        <v>1</v>
      </c>
      <c r="O611">
        <v>58.8</v>
      </c>
    </row>
    <row r="612" spans="1:15" x14ac:dyDescent="0.25">
      <c r="A612">
        <v>170</v>
      </c>
      <c r="B612" t="s">
        <v>7</v>
      </c>
      <c r="C612" s="1">
        <v>25401</v>
      </c>
      <c r="D612" s="1" t="s">
        <v>36</v>
      </c>
      <c r="E612">
        <v>43.87838</v>
      </c>
      <c r="F612">
        <v>11.103210000000001</v>
      </c>
      <c r="G612" s="1">
        <v>25433</v>
      </c>
      <c r="H612" s="1" t="s">
        <v>44</v>
      </c>
      <c r="I612">
        <v>43.923850000000002</v>
      </c>
      <c r="J612">
        <v>11.03511</v>
      </c>
      <c r="K612">
        <v>18</v>
      </c>
      <c r="L612">
        <v>792</v>
      </c>
      <c r="M612">
        <v>2916.6137454326399</v>
      </c>
      <c r="N612">
        <v>1</v>
      </c>
      <c r="O612">
        <v>792</v>
      </c>
    </row>
    <row r="613" spans="1:15" x14ac:dyDescent="0.25">
      <c r="A613">
        <v>170</v>
      </c>
      <c r="B613" t="s">
        <v>7</v>
      </c>
      <c r="C613" s="1">
        <v>25421</v>
      </c>
      <c r="D613" s="1" t="s">
        <v>41</v>
      </c>
      <c r="E613">
        <v>43.619419999999998</v>
      </c>
      <c r="F613">
        <v>11.47508</v>
      </c>
      <c r="G613" s="1">
        <v>4142</v>
      </c>
      <c r="H613" s="1" t="s">
        <v>42</v>
      </c>
      <c r="I613">
        <v>43.529310000000002</v>
      </c>
      <c r="J613">
        <v>11.56737</v>
      </c>
      <c r="K613">
        <v>14</v>
      </c>
      <c r="L613">
        <v>86.4</v>
      </c>
      <c r="M613">
        <v>3645.7671817907999</v>
      </c>
      <c r="N613">
        <v>1</v>
      </c>
      <c r="O613">
        <v>86.4</v>
      </c>
    </row>
    <row r="614" spans="1:15" x14ac:dyDescent="0.25">
      <c r="A614">
        <v>170</v>
      </c>
      <c r="B614" t="s">
        <v>7</v>
      </c>
      <c r="C614" s="1">
        <v>25421</v>
      </c>
      <c r="D614" s="1" t="s">
        <v>41</v>
      </c>
      <c r="E614">
        <v>43.619419999999998</v>
      </c>
      <c r="F614">
        <v>11.47508</v>
      </c>
      <c r="G614" s="1">
        <v>4144</v>
      </c>
      <c r="H614" s="1" t="s">
        <v>38</v>
      </c>
      <c r="I614">
        <v>43.568049999999999</v>
      </c>
      <c r="J614">
        <v>11.529260000000001</v>
      </c>
      <c r="K614">
        <v>5</v>
      </c>
      <c r="L614">
        <v>194.4</v>
      </c>
      <c r="M614">
        <v>2187.4603090744799</v>
      </c>
      <c r="N614">
        <v>1</v>
      </c>
      <c r="O614">
        <v>194.4</v>
      </c>
    </row>
    <row r="615" spans="1:15" x14ac:dyDescent="0.25">
      <c r="A615">
        <v>170</v>
      </c>
      <c r="B615" t="s">
        <v>7</v>
      </c>
      <c r="C615" s="1">
        <v>32094</v>
      </c>
      <c r="D615" s="1" t="s">
        <v>54</v>
      </c>
      <c r="E615">
        <v>43.304879999999997</v>
      </c>
      <c r="F615">
        <v>10.5182</v>
      </c>
      <c r="G615" s="1">
        <v>32098</v>
      </c>
      <c r="H615" s="1" t="s">
        <v>50</v>
      </c>
      <c r="I615">
        <v>43.393940000000001</v>
      </c>
      <c r="J615">
        <v>10.43547</v>
      </c>
      <c r="K615">
        <v>7</v>
      </c>
      <c r="L615">
        <v>70.8</v>
      </c>
      <c r="M615">
        <v>2189.8908205290072</v>
      </c>
      <c r="N615">
        <v>1</v>
      </c>
      <c r="O615">
        <v>70.8</v>
      </c>
    </row>
    <row r="616" spans="1:15" x14ac:dyDescent="0.25">
      <c r="A616">
        <v>170</v>
      </c>
      <c r="B616" t="s">
        <v>7</v>
      </c>
      <c r="C616" s="1">
        <v>33212</v>
      </c>
      <c r="D616" s="1" t="s">
        <v>46</v>
      </c>
      <c r="E616">
        <v>43.844110000000001</v>
      </c>
      <c r="F616">
        <v>10.525460000000001</v>
      </c>
      <c r="G616" s="1">
        <v>77150</v>
      </c>
      <c r="H616" s="1" t="s">
        <v>46</v>
      </c>
      <c r="I616">
        <v>43.860230000000001</v>
      </c>
      <c r="J616">
        <v>10.51596</v>
      </c>
      <c r="K616">
        <v>2</v>
      </c>
      <c r="L616">
        <v>153</v>
      </c>
      <c r="M616">
        <v>1069.4250399919681</v>
      </c>
      <c r="N616">
        <v>1</v>
      </c>
      <c r="O616">
        <v>153</v>
      </c>
    </row>
    <row r="617" spans="1:15" x14ac:dyDescent="0.25">
      <c r="A617">
        <v>170</v>
      </c>
      <c r="B617" t="s">
        <v>7</v>
      </c>
      <c r="C617" s="1">
        <v>33214</v>
      </c>
      <c r="D617" s="1" t="s">
        <v>51</v>
      </c>
      <c r="E617">
        <v>43.868270000000003</v>
      </c>
      <c r="F617">
        <v>10.252879999999999</v>
      </c>
      <c r="G617" s="1">
        <v>33220</v>
      </c>
      <c r="H617" s="1" t="s">
        <v>39</v>
      </c>
      <c r="I617">
        <v>43.894159999999999</v>
      </c>
      <c r="J617">
        <v>10.22714</v>
      </c>
      <c r="K617">
        <v>3</v>
      </c>
      <c r="L617">
        <v>210.7</v>
      </c>
      <c r="M617">
        <v>4642.2768781469513</v>
      </c>
      <c r="N617">
        <v>4</v>
      </c>
      <c r="O617">
        <v>210.7</v>
      </c>
    </row>
    <row r="618" spans="1:15" x14ac:dyDescent="0.25">
      <c r="A618">
        <v>170</v>
      </c>
      <c r="B618" t="s">
        <v>7</v>
      </c>
      <c r="C618" s="1">
        <v>33218</v>
      </c>
      <c r="D618" s="1" t="s">
        <v>52</v>
      </c>
      <c r="E618">
        <v>44.033050000000003</v>
      </c>
      <c r="F618">
        <v>10.50367</v>
      </c>
      <c r="G618" s="1">
        <v>33219</v>
      </c>
      <c r="H618" s="1" t="s">
        <v>47</v>
      </c>
      <c r="I618">
        <v>44.110500000000002</v>
      </c>
      <c r="J618">
        <v>10.41159</v>
      </c>
      <c r="K618">
        <v>24</v>
      </c>
      <c r="L618">
        <v>358.5</v>
      </c>
      <c r="M618">
        <v>4131.8694726962403</v>
      </c>
      <c r="N618">
        <v>1</v>
      </c>
      <c r="O618">
        <v>358.5</v>
      </c>
    </row>
    <row r="619" spans="1:15" x14ac:dyDescent="0.25">
      <c r="A619">
        <v>170</v>
      </c>
      <c r="B619" t="s">
        <v>7</v>
      </c>
      <c r="C619" s="1">
        <v>33220</v>
      </c>
      <c r="D619" s="1" t="s">
        <v>39</v>
      </c>
      <c r="E619">
        <v>43.894159999999999</v>
      </c>
      <c r="F619">
        <v>10.22714</v>
      </c>
      <c r="G619" s="1">
        <v>33221</v>
      </c>
      <c r="H619" s="1" t="s">
        <v>40</v>
      </c>
      <c r="I619">
        <v>43.956339999999997</v>
      </c>
      <c r="J619">
        <v>10.22996</v>
      </c>
      <c r="K619">
        <v>5</v>
      </c>
      <c r="L619">
        <v>168.29999999962919</v>
      </c>
      <c r="M619">
        <v>10164.398902832751</v>
      </c>
      <c r="N619">
        <v>4</v>
      </c>
      <c r="O619">
        <v>168.3</v>
      </c>
    </row>
    <row r="620" spans="1:15" x14ac:dyDescent="0.25">
      <c r="A620">
        <v>170</v>
      </c>
      <c r="B620" t="s">
        <v>7</v>
      </c>
      <c r="C620" s="1">
        <v>4144</v>
      </c>
      <c r="D620" s="1" t="s">
        <v>38</v>
      </c>
      <c r="E620">
        <v>43.568049999999999</v>
      </c>
      <c r="F620">
        <v>11.529260000000001</v>
      </c>
      <c r="G620" s="1">
        <v>25421</v>
      </c>
      <c r="H620" s="1" t="s">
        <v>41</v>
      </c>
      <c r="I620">
        <v>43.619419999999998</v>
      </c>
      <c r="J620">
        <v>11.47508</v>
      </c>
      <c r="K620">
        <v>12</v>
      </c>
      <c r="L620">
        <v>82.6</v>
      </c>
      <c r="M620">
        <v>6691.1980343133819</v>
      </c>
      <c r="N620">
        <v>1</v>
      </c>
      <c r="O620">
        <v>82.6</v>
      </c>
    </row>
    <row r="621" spans="1:15" x14ac:dyDescent="0.25">
      <c r="A621">
        <v>170</v>
      </c>
      <c r="B621" t="s">
        <v>7</v>
      </c>
      <c r="C621" s="1">
        <v>4144</v>
      </c>
      <c r="D621" s="1" t="s">
        <v>38</v>
      </c>
      <c r="E621">
        <v>43.568049999999999</v>
      </c>
      <c r="F621">
        <v>11.529260000000001</v>
      </c>
      <c r="G621" s="1">
        <v>4142</v>
      </c>
      <c r="H621" s="1" t="s">
        <v>42</v>
      </c>
      <c r="I621">
        <v>43.529310000000002</v>
      </c>
      <c r="J621">
        <v>11.56737</v>
      </c>
      <c r="K621">
        <v>4</v>
      </c>
      <c r="L621">
        <v>244.6</v>
      </c>
      <c r="M621">
        <v>1458.30687271632</v>
      </c>
      <c r="N621">
        <v>1</v>
      </c>
      <c r="O621">
        <v>244.6</v>
      </c>
    </row>
    <row r="622" spans="1:15" x14ac:dyDescent="0.25">
      <c r="A622">
        <v>170</v>
      </c>
      <c r="B622" t="s">
        <v>7</v>
      </c>
      <c r="C622" s="1">
        <v>46445</v>
      </c>
      <c r="D622" s="1" t="s">
        <v>35</v>
      </c>
      <c r="E622">
        <v>43.10801</v>
      </c>
      <c r="F622">
        <v>12.377940000000001</v>
      </c>
      <c r="G622" s="1">
        <v>46468</v>
      </c>
      <c r="H622" s="1" t="s">
        <v>33</v>
      </c>
      <c r="I622">
        <v>43.116489999999999</v>
      </c>
      <c r="J622">
        <v>12.45126</v>
      </c>
      <c r="K622">
        <v>8</v>
      </c>
      <c r="L622">
        <v>369.4</v>
      </c>
      <c r="M622">
        <v>9381.7742144749918</v>
      </c>
      <c r="N622">
        <v>3</v>
      </c>
      <c r="O622">
        <v>369.4</v>
      </c>
    </row>
    <row r="623" spans="1:15" x14ac:dyDescent="0.25">
      <c r="A623">
        <v>170</v>
      </c>
      <c r="B623" t="s">
        <v>7</v>
      </c>
      <c r="C623" s="1">
        <v>46445</v>
      </c>
      <c r="D623" s="1" t="s">
        <v>35</v>
      </c>
      <c r="E623">
        <v>43.10801</v>
      </c>
      <c r="F623">
        <v>12.377940000000001</v>
      </c>
      <c r="G623" s="1">
        <v>46471</v>
      </c>
      <c r="H623" s="1" t="s">
        <v>34</v>
      </c>
      <c r="I623">
        <v>43.10031</v>
      </c>
      <c r="J623">
        <v>12.318519999999999</v>
      </c>
      <c r="K623">
        <v>6</v>
      </c>
      <c r="L623">
        <v>377</v>
      </c>
      <c r="M623">
        <v>5420.0405435956563</v>
      </c>
      <c r="N623">
        <v>3</v>
      </c>
      <c r="O623">
        <v>377</v>
      </c>
    </row>
    <row r="624" spans="1:15" x14ac:dyDescent="0.25">
      <c r="A624">
        <v>170</v>
      </c>
      <c r="B624" t="s">
        <v>7</v>
      </c>
      <c r="C624" s="1">
        <v>46471</v>
      </c>
      <c r="D624" s="1" t="s">
        <v>34</v>
      </c>
      <c r="E624">
        <v>43.10031</v>
      </c>
      <c r="F624">
        <v>12.318519999999999</v>
      </c>
      <c r="G624" s="1">
        <v>46445</v>
      </c>
      <c r="H624" s="1" t="s">
        <v>35</v>
      </c>
      <c r="I624">
        <v>43.10801</v>
      </c>
      <c r="J624">
        <v>12.377940000000001</v>
      </c>
      <c r="K624">
        <v>11</v>
      </c>
      <c r="L624">
        <v>678.88</v>
      </c>
      <c r="M624">
        <v>1701.35801816904</v>
      </c>
      <c r="N624">
        <v>1</v>
      </c>
      <c r="O624">
        <v>678.88</v>
      </c>
    </row>
    <row r="625" spans="1:15" x14ac:dyDescent="0.25">
      <c r="A625">
        <v>170</v>
      </c>
      <c r="B625" t="s">
        <v>7</v>
      </c>
      <c r="C625" s="1">
        <v>59131</v>
      </c>
      <c r="D625" s="1" t="s">
        <v>45</v>
      </c>
      <c r="E625">
        <v>43.331879999999998</v>
      </c>
      <c r="F625">
        <v>11.32122</v>
      </c>
      <c r="G625" s="1">
        <v>59157</v>
      </c>
      <c r="H625" s="1" t="s">
        <v>45</v>
      </c>
      <c r="I625">
        <v>43.29034</v>
      </c>
      <c r="J625">
        <v>11.33822</v>
      </c>
      <c r="K625">
        <v>20</v>
      </c>
      <c r="L625">
        <v>1303.42</v>
      </c>
      <c r="M625">
        <v>4.8610229090543999</v>
      </c>
      <c r="N625">
        <v>2</v>
      </c>
      <c r="O625">
        <v>1303.42</v>
      </c>
    </row>
    <row r="626" spans="1:15" x14ac:dyDescent="0.25">
      <c r="A626">
        <v>170</v>
      </c>
      <c r="B626" t="s">
        <v>7</v>
      </c>
      <c r="C626" s="1">
        <v>59157</v>
      </c>
      <c r="D626" s="1" t="s">
        <v>45</v>
      </c>
      <c r="E626">
        <v>43.29034</v>
      </c>
      <c r="F626">
        <v>11.33822</v>
      </c>
      <c r="G626" s="1">
        <v>59131</v>
      </c>
      <c r="H626" s="1" t="s">
        <v>45</v>
      </c>
      <c r="I626">
        <v>43.331879999999998</v>
      </c>
      <c r="J626">
        <v>11.32122</v>
      </c>
      <c r="K626">
        <v>7</v>
      </c>
      <c r="L626">
        <v>408.40000000000009</v>
      </c>
      <c r="M626">
        <v>2187.4603090744799</v>
      </c>
      <c r="N626">
        <v>1</v>
      </c>
      <c r="O626">
        <v>408.4</v>
      </c>
    </row>
    <row r="627" spans="1:15" x14ac:dyDescent="0.25">
      <c r="A627">
        <v>170</v>
      </c>
      <c r="B627" t="s">
        <v>7</v>
      </c>
      <c r="C627" s="1">
        <v>77343</v>
      </c>
      <c r="D627" s="1" t="s">
        <v>43</v>
      </c>
      <c r="E627">
        <v>42.812559999999998</v>
      </c>
      <c r="F627">
        <v>10.31758</v>
      </c>
      <c r="G627" s="1">
        <v>32095</v>
      </c>
      <c r="H627" s="1" t="s">
        <v>43</v>
      </c>
      <c r="I627">
        <v>42.810519999999997</v>
      </c>
      <c r="J627">
        <v>10.30799</v>
      </c>
      <c r="K627">
        <v>3</v>
      </c>
      <c r="L627">
        <v>273.7</v>
      </c>
      <c r="M627">
        <v>291.661374543264</v>
      </c>
      <c r="N627">
        <v>1</v>
      </c>
      <c r="O627">
        <v>273.7</v>
      </c>
    </row>
    <row r="628" spans="1:15" x14ac:dyDescent="0.25">
      <c r="A628">
        <v>170</v>
      </c>
      <c r="B628" t="s">
        <v>7</v>
      </c>
      <c r="C628" s="1">
        <v>85210</v>
      </c>
      <c r="D628" s="1" t="s">
        <v>49</v>
      </c>
      <c r="E628">
        <v>43.928640000000001</v>
      </c>
      <c r="F628">
        <v>10.9284</v>
      </c>
      <c r="G628" s="1">
        <v>77334</v>
      </c>
      <c r="H628" s="1" t="s">
        <v>49</v>
      </c>
      <c r="I628">
        <v>43.939680000000003</v>
      </c>
      <c r="J628">
        <v>10.943490000000001</v>
      </c>
      <c r="K628">
        <v>1</v>
      </c>
      <c r="L628">
        <v>37.000000000000007</v>
      </c>
      <c r="M628">
        <v>850.67900908451998</v>
      </c>
      <c r="N628">
        <v>1</v>
      </c>
      <c r="O628">
        <v>37</v>
      </c>
    </row>
    <row r="629" spans="1:15" x14ac:dyDescent="0.25">
      <c r="A629">
        <v>170</v>
      </c>
      <c r="B629" t="s">
        <v>7</v>
      </c>
      <c r="C629" s="1">
        <v>92197</v>
      </c>
      <c r="D629" s="1" t="s">
        <v>53</v>
      </c>
      <c r="E629">
        <v>42.570590000000003</v>
      </c>
      <c r="F629">
        <v>12.632300000000001</v>
      </c>
      <c r="G629" s="1">
        <v>92198</v>
      </c>
      <c r="H629" s="1" t="s">
        <v>48</v>
      </c>
      <c r="I629">
        <v>42.529159999999997</v>
      </c>
      <c r="J629">
        <v>12.51361</v>
      </c>
      <c r="K629">
        <v>25</v>
      </c>
      <c r="L629">
        <v>475</v>
      </c>
      <c r="M629">
        <v>7218.6190199457833</v>
      </c>
      <c r="N629">
        <v>2</v>
      </c>
      <c r="O629">
        <v>475</v>
      </c>
    </row>
    <row r="630" spans="1:15" x14ac:dyDescent="0.25">
      <c r="A630">
        <v>170</v>
      </c>
      <c r="B630" t="s">
        <v>8</v>
      </c>
      <c r="C630" s="1">
        <v>25290</v>
      </c>
      <c r="D630" s="1" t="s">
        <v>32</v>
      </c>
      <c r="E630">
        <v>43.81803</v>
      </c>
      <c r="F630">
        <v>11.211550000000001</v>
      </c>
      <c r="G630" s="1">
        <v>25239</v>
      </c>
      <c r="H630" s="1" t="s">
        <v>31</v>
      </c>
      <c r="I630">
        <v>43.77281</v>
      </c>
      <c r="J630">
        <v>11.29452</v>
      </c>
      <c r="K630">
        <v>130</v>
      </c>
      <c r="L630">
        <v>4987.1000000000004</v>
      </c>
      <c r="M630">
        <v>18228.835908953999</v>
      </c>
      <c r="N630">
        <v>5</v>
      </c>
      <c r="O630">
        <v>4987.1000000000004</v>
      </c>
    </row>
    <row r="631" spans="1:15" x14ac:dyDescent="0.25">
      <c r="A631">
        <v>170</v>
      </c>
      <c r="B631" t="s">
        <v>8</v>
      </c>
      <c r="C631" s="1">
        <v>25290</v>
      </c>
      <c r="D631" s="1" t="s">
        <v>32</v>
      </c>
      <c r="E631">
        <v>43.81803</v>
      </c>
      <c r="F631">
        <v>11.211550000000001</v>
      </c>
      <c r="G631" s="1">
        <v>25398</v>
      </c>
      <c r="H631" s="1" t="s">
        <v>31</v>
      </c>
      <c r="I631">
        <v>43.769460000000002</v>
      </c>
      <c r="J631">
        <v>11.19172</v>
      </c>
      <c r="K631">
        <v>35</v>
      </c>
      <c r="L631">
        <v>2019.72</v>
      </c>
      <c r="M631">
        <v>11182.78320227965</v>
      </c>
      <c r="N631">
        <v>4</v>
      </c>
      <c r="O631">
        <v>2019.72</v>
      </c>
    </row>
    <row r="632" spans="1:15" x14ac:dyDescent="0.25">
      <c r="A632">
        <v>170</v>
      </c>
      <c r="B632" t="s">
        <v>8</v>
      </c>
      <c r="C632" s="1">
        <v>25290</v>
      </c>
      <c r="D632" s="1" t="s">
        <v>32</v>
      </c>
      <c r="E632">
        <v>43.81803</v>
      </c>
      <c r="F632">
        <v>11.211550000000001</v>
      </c>
      <c r="G632" s="1">
        <v>25400</v>
      </c>
      <c r="H632" s="1" t="s">
        <v>31</v>
      </c>
      <c r="I632">
        <v>43.798690000000001</v>
      </c>
      <c r="J632">
        <v>11.20762</v>
      </c>
      <c r="K632">
        <v>73</v>
      </c>
      <c r="L632">
        <v>6189.96</v>
      </c>
      <c r="M632">
        <v>10086.622536287879</v>
      </c>
      <c r="N632">
        <v>7</v>
      </c>
      <c r="O632">
        <v>6189.96</v>
      </c>
    </row>
    <row r="633" spans="1:15" x14ac:dyDescent="0.25">
      <c r="A633">
        <v>170</v>
      </c>
      <c r="B633" t="s">
        <v>8</v>
      </c>
      <c r="C633" s="1">
        <v>25290</v>
      </c>
      <c r="D633" s="1" t="s">
        <v>32</v>
      </c>
      <c r="E633">
        <v>43.81803</v>
      </c>
      <c r="F633">
        <v>11.211550000000001</v>
      </c>
      <c r="G633" s="1">
        <v>25401</v>
      </c>
      <c r="H633" s="1" t="s">
        <v>36</v>
      </c>
      <c r="I633">
        <v>43.87838</v>
      </c>
      <c r="J633">
        <v>11.103210000000001</v>
      </c>
      <c r="K633">
        <v>155</v>
      </c>
      <c r="L633">
        <v>2791.3</v>
      </c>
      <c r="M633">
        <v>18690.63308531417</v>
      </c>
      <c r="N633">
        <v>5</v>
      </c>
      <c r="O633">
        <v>2791.3</v>
      </c>
    </row>
    <row r="634" spans="1:15" x14ac:dyDescent="0.25">
      <c r="A634">
        <v>170</v>
      </c>
      <c r="B634" t="s">
        <v>8</v>
      </c>
      <c r="C634" s="1">
        <v>25290</v>
      </c>
      <c r="D634" s="1" t="s">
        <v>32</v>
      </c>
      <c r="E634">
        <v>43.81803</v>
      </c>
      <c r="F634">
        <v>11.211550000000001</v>
      </c>
      <c r="G634" s="1">
        <v>25417</v>
      </c>
      <c r="H634" s="1" t="s">
        <v>37</v>
      </c>
      <c r="I634">
        <v>43.754040000000003</v>
      </c>
      <c r="J634">
        <v>11.32128</v>
      </c>
      <c r="K634">
        <v>64</v>
      </c>
      <c r="L634">
        <v>973.3</v>
      </c>
      <c r="M634">
        <v>14194.18689443885</v>
      </c>
      <c r="N634">
        <v>2</v>
      </c>
      <c r="O634">
        <v>973.3</v>
      </c>
    </row>
    <row r="635" spans="1:15" x14ac:dyDescent="0.25">
      <c r="A635">
        <v>170</v>
      </c>
      <c r="B635" t="s">
        <v>8</v>
      </c>
      <c r="C635" s="1">
        <v>25398</v>
      </c>
      <c r="D635" s="1" t="s">
        <v>31</v>
      </c>
      <c r="E635">
        <v>43.769460000000002</v>
      </c>
      <c r="F635">
        <v>11.19172</v>
      </c>
      <c r="G635" s="1">
        <v>25239</v>
      </c>
      <c r="H635" s="1" t="s">
        <v>31</v>
      </c>
      <c r="I635">
        <v>43.77281</v>
      </c>
      <c r="J635">
        <v>11.29452</v>
      </c>
      <c r="K635">
        <v>34</v>
      </c>
      <c r="L635">
        <v>134</v>
      </c>
      <c r="M635">
        <v>2916.6137454326399</v>
      </c>
      <c r="N635">
        <v>1</v>
      </c>
      <c r="O635">
        <v>134</v>
      </c>
    </row>
    <row r="636" spans="1:15" x14ac:dyDescent="0.25">
      <c r="A636">
        <v>170</v>
      </c>
      <c r="B636" t="s">
        <v>8</v>
      </c>
      <c r="C636" s="1">
        <v>25398</v>
      </c>
      <c r="D636" s="1" t="s">
        <v>31</v>
      </c>
      <c r="E636">
        <v>43.769460000000002</v>
      </c>
      <c r="F636">
        <v>11.19172</v>
      </c>
      <c r="G636" s="1">
        <v>25290</v>
      </c>
      <c r="H636" s="1" t="s">
        <v>32</v>
      </c>
      <c r="I636">
        <v>43.81803</v>
      </c>
      <c r="J636">
        <v>11.211550000000001</v>
      </c>
      <c r="K636">
        <v>1</v>
      </c>
      <c r="L636">
        <v>38</v>
      </c>
      <c r="M636">
        <v>4377.3511296034876</v>
      </c>
      <c r="N636">
        <v>1</v>
      </c>
      <c r="O636">
        <v>38</v>
      </c>
    </row>
    <row r="637" spans="1:15" x14ac:dyDescent="0.25">
      <c r="A637">
        <v>170</v>
      </c>
      <c r="B637" t="s">
        <v>8</v>
      </c>
      <c r="C637" s="1">
        <v>25400</v>
      </c>
      <c r="D637" s="1" t="s">
        <v>31</v>
      </c>
      <c r="E637">
        <v>43.798690000000001</v>
      </c>
      <c r="F637">
        <v>11.20762</v>
      </c>
      <c r="G637" s="1">
        <v>25290</v>
      </c>
      <c r="H637" s="1" t="s">
        <v>32</v>
      </c>
      <c r="I637">
        <v>43.81803</v>
      </c>
      <c r="J637">
        <v>11.211550000000001</v>
      </c>
      <c r="K637">
        <v>73</v>
      </c>
      <c r="L637">
        <v>159.91999999999999</v>
      </c>
      <c r="M637">
        <v>2673.5625999799199</v>
      </c>
      <c r="N637">
        <v>2</v>
      </c>
      <c r="O637">
        <v>159.91999999999999</v>
      </c>
    </row>
    <row r="638" spans="1:15" x14ac:dyDescent="0.25">
      <c r="A638">
        <v>170</v>
      </c>
      <c r="B638" t="s">
        <v>8</v>
      </c>
      <c r="C638" s="1">
        <v>25400</v>
      </c>
      <c r="D638" s="1" t="s">
        <v>31</v>
      </c>
      <c r="E638">
        <v>43.798690000000001</v>
      </c>
      <c r="F638">
        <v>11.20762</v>
      </c>
      <c r="G638" s="1">
        <v>25398</v>
      </c>
      <c r="H638" s="1" t="s">
        <v>31</v>
      </c>
      <c r="I638">
        <v>43.769460000000002</v>
      </c>
      <c r="J638">
        <v>11.19172</v>
      </c>
      <c r="K638">
        <v>13</v>
      </c>
      <c r="L638">
        <v>961.4</v>
      </c>
      <c r="M638">
        <v>2989.529089068456</v>
      </c>
      <c r="N638">
        <v>2</v>
      </c>
      <c r="O638">
        <v>961.4</v>
      </c>
    </row>
    <row r="639" spans="1:15" x14ac:dyDescent="0.25">
      <c r="A639">
        <v>170</v>
      </c>
      <c r="B639" t="s">
        <v>8</v>
      </c>
      <c r="C639" s="1">
        <v>25401</v>
      </c>
      <c r="D639" s="1" t="s">
        <v>36</v>
      </c>
      <c r="E639">
        <v>43.87838</v>
      </c>
      <c r="F639">
        <v>11.103210000000001</v>
      </c>
      <c r="G639" s="1">
        <v>25290</v>
      </c>
      <c r="H639" s="1" t="s">
        <v>32</v>
      </c>
      <c r="I639">
        <v>43.81803</v>
      </c>
      <c r="J639">
        <v>11.211550000000001</v>
      </c>
      <c r="K639">
        <v>4</v>
      </c>
      <c r="L639">
        <v>58.8</v>
      </c>
      <c r="M639">
        <v>3767.2927545171601</v>
      </c>
      <c r="N639">
        <v>1</v>
      </c>
      <c r="O639">
        <v>58.8</v>
      </c>
    </row>
    <row r="640" spans="1:15" x14ac:dyDescent="0.25">
      <c r="A640">
        <v>170</v>
      </c>
      <c r="B640" t="s">
        <v>8</v>
      </c>
      <c r="C640" s="1">
        <v>25401</v>
      </c>
      <c r="D640" s="1" t="s">
        <v>36</v>
      </c>
      <c r="E640">
        <v>43.87838</v>
      </c>
      <c r="F640">
        <v>11.103210000000001</v>
      </c>
      <c r="G640" s="1">
        <v>25433</v>
      </c>
      <c r="H640" s="1" t="s">
        <v>44</v>
      </c>
      <c r="I640">
        <v>43.923850000000002</v>
      </c>
      <c r="J640">
        <v>11.03511</v>
      </c>
      <c r="K640">
        <v>18</v>
      </c>
      <c r="L640">
        <v>792</v>
      </c>
      <c r="M640">
        <v>2916.6137454326399</v>
      </c>
      <c r="N640">
        <v>1</v>
      </c>
      <c r="O640">
        <v>792</v>
      </c>
    </row>
    <row r="641" spans="1:15" x14ac:dyDescent="0.25">
      <c r="A641">
        <v>170</v>
      </c>
      <c r="B641" t="s">
        <v>8</v>
      </c>
      <c r="C641" s="1">
        <v>25421</v>
      </c>
      <c r="D641" s="1" t="s">
        <v>41</v>
      </c>
      <c r="E641">
        <v>43.619419999999998</v>
      </c>
      <c r="F641">
        <v>11.47508</v>
      </c>
      <c r="G641" s="1">
        <v>4142</v>
      </c>
      <c r="H641" s="1" t="s">
        <v>42</v>
      </c>
      <c r="I641">
        <v>43.529310000000002</v>
      </c>
      <c r="J641">
        <v>11.56737</v>
      </c>
      <c r="K641">
        <v>14</v>
      </c>
      <c r="L641">
        <v>86.4</v>
      </c>
      <c r="M641">
        <v>3645.7671817907999</v>
      </c>
      <c r="N641">
        <v>1</v>
      </c>
      <c r="O641">
        <v>86.4</v>
      </c>
    </row>
    <row r="642" spans="1:15" x14ac:dyDescent="0.25">
      <c r="A642">
        <v>170</v>
      </c>
      <c r="B642" t="s">
        <v>8</v>
      </c>
      <c r="C642" s="1">
        <v>25421</v>
      </c>
      <c r="D642" s="1" t="s">
        <v>41</v>
      </c>
      <c r="E642">
        <v>43.619419999999998</v>
      </c>
      <c r="F642">
        <v>11.47508</v>
      </c>
      <c r="G642" s="1">
        <v>4144</v>
      </c>
      <c r="H642" s="1" t="s">
        <v>38</v>
      </c>
      <c r="I642">
        <v>43.568049999999999</v>
      </c>
      <c r="J642">
        <v>11.529260000000001</v>
      </c>
      <c r="K642">
        <v>5</v>
      </c>
      <c r="L642">
        <v>194.4</v>
      </c>
      <c r="M642">
        <v>2187.4603090744799</v>
      </c>
      <c r="N642">
        <v>1</v>
      </c>
      <c r="O642">
        <v>194.4</v>
      </c>
    </row>
    <row r="643" spans="1:15" x14ac:dyDescent="0.25">
      <c r="A643">
        <v>170</v>
      </c>
      <c r="B643" t="s">
        <v>8</v>
      </c>
      <c r="C643" s="1">
        <v>32094</v>
      </c>
      <c r="D643" s="1" t="s">
        <v>54</v>
      </c>
      <c r="E643">
        <v>43.304879999999997</v>
      </c>
      <c r="F643">
        <v>10.5182</v>
      </c>
      <c r="G643" s="1">
        <v>32098</v>
      </c>
      <c r="H643" s="1" t="s">
        <v>50</v>
      </c>
      <c r="I643">
        <v>43.393940000000001</v>
      </c>
      <c r="J643">
        <v>10.43547</v>
      </c>
      <c r="K643">
        <v>7</v>
      </c>
      <c r="L643">
        <v>70.8</v>
      </c>
      <c r="M643">
        <v>2189.8908205290072</v>
      </c>
      <c r="N643">
        <v>1</v>
      </c>
      <c r="O643">
        <v>70.8</v>
      </c>
    </row>
    <row r="644" spans="1:15" x14ac:dyDescent="0.25">
      <c r="A644">
        <v>170</v>
      </c>
      <c r="B644" t="s">
        <v>8</v>
      </c>
      <c r="C644" s="1">
        <v>33212</v>
      </c>
      <c r="D644" s="1" t="s">
        <v>46</v>
      </c>
      <c r="E644">
        <v>43.844110000000001</v>
      </c>
      <c r="F644">
        <v>10.525460000000001</v>
      </c>
      <c r="G644" s="1">
        <v>77150</v>
      </c>
      <c r="H644" s="1" t="s">
        <v>46</v>
      </c>
      <c r="I644">
        <v>43.860230000000001</v>
      </c>
      <c r="J644">
        <v>10.51596</v>
      </c>
      <c r="K644">
        <v>2</v>
      </c>
      <c r="L644">
        <v>153</v>
      </c>
      <c r="M644">
        <v>1069.4250399919681</v>
      </c>
      <c r="N644">
        <v>1</v>
      </c>
      <c r="O644">
        <v>153</v>
      </c>
    </row>
    <row r="645" spans="1:15" x14ac:dyDescent="0.25">
      <c r="A645">
        <v>170</v>
      </c>
      <c r="B645" t="s">
        <v>8</v>
      </c>
      <c r="C645" s="1">
        <v>33214</v>
      </c>
      <c r="D645" s="1" t="s">
        <v>51</v>
      </c>
      <c r="E645">
        <v>43.868270000000003</v>
      </c>
      <c r="F645">
        <v>10.252879999999999</v>
      </c>
      <c r="G645" s="1">
        <v>33220</v>
      </c>
      <c r="H645" s="1" t="s">
        <v>39</v>
      </c>
      <c r="I645">
        <v>43.894159999999999</v>
      </c>
      <c r="J645">
        <v>10.22714</v>
      </c>
      <c r="K645">
        <v>3</v>
      </c>
      <c r="L645">
        <v>210.7</v>
      </c>
      <c r="M645">
        <v>4642.2768781469513</v>
      </c>
      <c r="N645">
        <v>4</v>
      </c>
      <c r="O645">
        <v>210.7</v>
      </c>
    </row>
    <row r="646" spans="1:15" x14ac:dyDescent="0.25">
      <c r="A646">
        <v>170</v>
      </c>
      <c r="B646" t="s">
        <v>8</v>
      </c>
      <c r="C646" s="1">
        <v>33218</v>
      </c>
      <c r="D646" s="1" t="s">
        <v>52</v>
      </c>
      <c r="E646">
        <v>44.033050000000003</v>
      </c>
      <c r="F646">
        <v>10.50367</v>
      </c>
      <c r="G646" s="1">
        <v>33219</v>
      </c>
      <c r="H646" s="1" t="s">
        <v>47</v>
      </c>
      <c r="I646">
        <v>44.110500000000002</v>
      </c>
      <c r="J646">
        <v>10.41159</v>
      </c>
      <c r="K646">
        <v>24</v>
      </c>
      <c r="L646">
        <v>358.5</v>
      </c>
      <c r="M646">
        <v>4131.8694726962403</v>
      </c>
      <c r="N646">
        <v>1</v>
      </c>
      <c r="O646">
        <v>358.5</v>
      </c>
    </row>
    <row r="647" spans="1:15" x14ac:dyDescent="0.25">
      <c r="A647">
        <v>170</v>
      </c>
      <c r="B647" t="s">
        <v>8</v>
      </c>
      <c r="C647" s="1">
        <v>33220</v>
      </c>
      <c r="D647" s="1" t="s">
        <v>39</v>
      </c>
      <c r="E647">
        <v>43.894159999999999</v>
      </c>
      <c r="F647">
        <v>10.22714</v>
      </c>
      <c r="G647" s="1">
        <v>33221</v>
      </c>
      <c r="H647" s="1" t="s">
        <v>40</v>
      </c>
      <c r="I647">
        <v>43.956339999999997</v>
      </c>
      <c r="J647">
        <v>10.22996</v>
      </c>
      <c r="K647">
        <v>5</v>
      </c>
      <c r="L647">
        <v>168.3</v>
      </c>
      <c r="M647">
        <v>10164.398902832751</v>
      </c>
      <c r="N647">
        <v>4</v>
      </c>
      <c r="O647">
        <v>168.3</v>
      </c>
    </row>
    <row r="648" spans="1:15" x14ac:dyDescent="0.25">
      <c r="A648">
        <v>170</v>
      </c>
      <c r="B648" t="s">
        <v>8</v>
      </c>
      <c r="C648" s="1">
        <v>4144</v>
      </c>
      <c r="D648" s="1" t="s">
        <v>38</v>
      </c>
      <c r="E648">
        <v>43.568049999999999</v>
      </c>
      <c r="F648">
        <v>11.529260000000001</v>
      </c>
      <c r="G648" s="1">
        <v>25421</v>
      </c>
      <c r="H648" s="1" t="s">
        <v>41</v>
      </c>
      <c r="I648">
        <v>43.619419999999998</v>
      </c>
      <c r="J648">
        <v>11.47508</v>
      </c>
      <c r="K648">
        <v>2</v>
      </c>
      <c r="L648">
        <v>82.6</v>
      </c>
      <c r="M648">
        <v>6691.1980343133819</v>
      </c>
      <c r="N648">
        <v>1</v>
      </c>
      <c r="O648">
        <v>82.6</v>
      </c>
    </row>
    <row r="649" spans="1:15" x14ac:dyDescent="0.25">
      <c r="A649">
        <v>170</v>
      </c>
      <c r="B649" t="s">
        <v>8</v>
      </c>
      <c r="C649" s="1">
        <v>4144</v>
      </c>
      <c r="D649" s="1" t="s">
        <v>38</v>
      </c>
      <c r="E649">
        <v>43.568049999999999</v>
      </c>
      <c r="F649">
        <v>11.529260000000001</v>
      </c>
      <c r="G649" s="1">
        <v>4142</v>
      </c>
      <c r="H649" s="1" t="s">
        <v>42</v>
      </c>
      <c r="I649">
        <v>43.529310000000002</v>
      </c>
      <c r="J649">
        <v>11.56737</v>
      </c>
      <c r="K649">
        <v>4</v>
      </c>
      <c r="L649">
        <v>244.6</v>
      </c>
      <c r="M649">
        <v>1458.30687271632</v>
      </c>
      <c r="N649">
        <v>1</v>
      </c>
      <c r="O649">
        <v>244.6</v>
      </c>
    </row>
    <row r="650" spans="1:15" x14ac:dyDescent="0.25">
      <c r="A650">
        <v>170</v>
      </c>
      <c r="B650" t="s">
        <v>8</v>
      </c>
      <c r="C650" s="1">
        <v>46445</v>
      </c>
      <c r="D650" s="1" t="s">
        <v>35</v>
      </c>
      <c r="E650">
        <v>43.10801</v>
      </c>
      <c r="F650">
        <v>12.377940000000001</v>
      </c>
      <c r="G650" s="1">
        <v>46468</v>
      </c>
      <c r="H650" s="1" t="s">
        <v>33</v>
      </c>
      <c r="I650">
        <v>43.116489999999999</v>
      </c>
      <c r="J650">
        <v>12.45126</v>
      </c>
      <c r="K650">
        <v>7</v>
      </c>
      <c r="L650">
        <v>369.4</v>
      </c>
      <c r="M650">
        <v>9381.7742144749918</v>
      </c>
      <c r="N650">
        <v>3</v>
      </c>
      <c r="O650">
        <v>369.4</v>
      </c>
    </row>
    <row r="651" spans="1:15" x14ac:dyDescent="0.25">
      <c r="A651">
        <v>170</v>
      </c>
      <c r="B651" t="s">
        <v>8</v>
      </c>
      <c r="C651" s="1">
        <v>46445</v>
      </c>
      <c r="D651" s="1" t="s">
        <v>35</v>
      </c>
      <c r="E651">
        <v>43.10801</v>
      </c>
      <c r="F651">
        <v>12.377940000000001</v>
      </c>
      <c r="G651" s="1">
        <v>46471</v>
      </c>
      <c r="H651" s="1" t="s">
        <v>34</v>
      </c>
      <c r="I651">
        <v>43.10031</v>
      </c>
      <c r="J651">
        <v>12.318519999999999</v>
      </c>
      <c r="K651">
        <v>11</v>
      </c>
      <c r="L651">
        <v>377</v>
      </c>
      <c r="M651">
        <v>5420.0405435956563</v>
      </c>
      <c r="N651">
        <v>3</v>
      </c>
      <c r="O651">
        <v>377</v>
      </c>
    </row>
    <row r="652" spans="1:15" x14ac:dyDescent="0.25">
      <c r="A652">
        <v>170</v>
      </c>
      <c r="B652" t="s">
        <v>8</v>
      </c>
      <c r="C652" s="1">
        <v>46471</v>
      </c>
      <c r="D652" s="1" t="s">
        <v>34</v>
      </c>
      <c r="E652">
        <v>43.10031</v>
      </c>
      <c r="F652">
        <v>12.318519999999999</v>
      </c>
      <c r="G652" s="1">
        <v>46445</v>
      </c>
      <c r="H652" s="1" t="s">
        <v>35</v>
      </c>
      <c r="I652">
        <v>43.10801</v>
      </c>
      <c r="J652">
        <v>12.377940000000001</v>
      </c>
      <c r="K652">
        <v>11</v>
      </c>
      <c r="L652">
        <v>678.88</v>
      </c>
      <c r="M652">
        <v>1701.35801816904</v>
      </c>
      <c r="N652">
        <v>1</v>
      </c>
      <c r="O652">
        <v>678.88</v>
      </c>
    </row>
    <row r="653" spans="1:15" x14ac:dyDescent="0.25">
      <c r="A653">
        <v>170</v>
      </c>
      <c r="B653" t="s">
        <v>8</v>
      </c>
      <c r="C653" s="1">
        <v>59131</v>
      </c>
      <c r="D653" s="1" t="s">
        <v>45</v>
      </c>
      <c r="E653">
        <v>43.331879999999998</v>
      </c>
      <c r="F653">
        <v>11.32122</v>
      </c>
      <c r="G653" s="1">
        <v>59157</v>
      </c>
      <c r="H653" s="1" t="s">
        <v>45</v>
      </c>
      <c r="I653">
        <v>43.29034</v>
      </c>
      <c r="J653">
        <v>11.33822</v>
      </c>
      <c r="K653">
        <v>20</v>
      </c>
      <c r="L653">
        <v>1303.42</v>
      </c>
      <c r="M653">
        <v>4.8610229090543999</v>
      </c>
      <c r="N653">
        <v>2</v>
      </c>
      <c r="O653">
        <v>1303.42</v>
      </c>
    </row>
    <row r="654" spans="1:15" x14ac:dyDescent="0.25">
      <c r="A654">
        <v>170</v>
      </c>
      <c r="B654" t="s">
        <v>8</v>
      </c>
      <c r="C654" s="1">
        <v>59157</v>
      </c>
      <c r="D654" s="1" t="s">
        <v>45</v>
      </c>
      <c r="E654">
        <v>43.29034</v>
      </c>
      <c r="F654">
        <v>11.33822</v>
      </c>
      <c r="G654" s="1">
        <v>59131</v>
      </c>
      <c r="H654" s="1" t="s">
        <v>45</v>
      </c>
      <c r="I654">
        <v>43.331879999999998</v>
      </c>
      <c r="J654">
        <v>11.32122</v>
      </c>
      <c r="K654">
        <v>10</v>
      </c>
      <c r="L654">
        <v>408.4</v>
      </c>
      <c r="M654">
        <v>2187.4603090744799</v>
      </c>
      <c r="N654">
        <v>1</v>
      </c>
      <c r="O654">
        <v>408.4</v>
      </c>
    </row>
    <row r="655" spans="1:15" x14ac:dyDescent="0.25">
      <c r="A655">
        <v>170</v>
      </c>
      <c r="B655" t="s">
        <v>8</v>
      </c>
      <c r="C655" s="1">
        <v>77343</v>
      </c>
      <c r="D655" s="1" t="s">
        <v>43</v>
      </c>
      <c r="E655">
        <v>42.812559999999998</v>
      </c>
      <c r="F655">
        <v>10.31758</v>
      </c>
      <c r="G655" s="1">
        <v>32095</v>
      </c>
      <c r="H655" s="1" t="s">
        <v>43</v>
      </c>
      <c r="I655">
        <v>42.810519999999997</v>
      </c>
      <c r="J655">
        <v>10.30799</v>
      </c>
      <c r="K655">
        <v>3</v>
      </c>
      <c r="L655">
        <v>273.7</v>
      </c>
      <c r="M655">
        <v>291.661374543264</v>
      </c>
      <c r="N655">
        <v>1</v>
      </c>
      <c r="O655">
        <v>273.7</v>
      </c>
    </row>
    <row r="656" spans="1:15" x14ac:dyDescent="0.25">
      <c r="A656">
        <v>170</v>
      </c>
      <c r="B656" t="s">
        <v>8</v>
      </c>
      <c r="C656" s="1">
        <v>85210</v>
      </c>
      <c r="D656" s="1" t="s">
        <v>49</v>
      </c>
      <c r="E656">
        <v>43.928640000000001</v>
      </c>
      <c r="F656">
        <v>10.9284</v>
      </c>
      <c r="G656" s="1">
        <v>77334</v>
      </c>
      <c r="H656" s="1" t="s">
        <v>49</v>
      </c>
      <c r="I656">
        <v>43.939680000000003</v>
      </c>
      <c r="J656">
        <v>10.943490000000001</v>
      </c>
      <c r="K656">
        <v>1</v>
      </c>
      <c r="L656">
        <v>37</v>
      </c>
      <c r="M656">
        <v>850.67900908451998</v>
      </c>
      <c r="N656">
        <v>1</v>
      </c>
      <c r="O656">
        <v>37</v>
      </c>
    </row>
    <row r="657" spans="1:15" x14ac:dyDescent="0.25">
      <c r="A657">
        <v>170</v>
      </c>
      <c r="B657" t="s">
        <v>8</v>
      </c>
      <c r="C657" s="1">
        <v>92197</v>
      </c>
      <c r="D657" s="1" t="s">
        <v>53</v>
      </c>
      <c r="E657">
        <v>42.570590000000003</v>
      </c>
      <c r="F657">
        <v>12.632300000000001</v>
      </c>
      <c r="G657" s="1">
        <v>92198</v>
      </c>
      <c r="H657" s="1" t="s">
        <v>48</v>
      </c>
      <c r="I657">
        <v>42.529159999999997</v>
      </c>
      <c r="J657">
        <v>12.51361</v>
      </c>
      <c r="K657">
        <v>25</v>
      </c>
      <c r="L657">
        <v>475</v>
      </c>
      <c r="M657">
        <v>7218.6190199457833</v>
      </c>
      <c r="N657">
        <v>2</v>
      </c>
      <c r="O657">
        <v>475</v>
      </c>
    </row>
    <row r="658" spans="1:15" x14ac:dyDescent="0.25">
      <c r="A658">
        <v>170</v>
      </c>
      <c r="B658" t="s">
        <v>9</v>
      </c>
      <c r="C658" s="1">
        <v>25290</v>
      </c>
      <c r="D658" s="1" t="s">
        <v>32</v>
      </c>
      <c r="E658">
        <v>43.81803</v>
      </c>
      <c r="F658">
        <v>11.211550000000001</v>
      </c>
      <c r="G658" s="1">
        <v>25239</v>
      </c>
      <c r="H658" s="1" t="s">
        <v>31</v>
      </c>
      <c r="I658">
        <v>43.77281</v>
      </c>
      <c r="J658">
        <v>11.29452</v>
      </c>
      <c r="K658">
        <v>130</v>
      </c>
      <c r="L658">
        <v>4987.1000000000004</v>
      </c>
      <c r="M658">
        <v>18228.835908953999</v>
      </c>
      <c r="N658">
        <v>5</v>
      </c>
      <c r="O658">
        <v>4987.1000000000004</v>
      </c>
    </row>
    <row r="659" spans="1:15" x14ac:dyDescent="0.25">
      <c r="A659">
        <v>170</v>
      </c>
      <c r="B659" t="s">
        <v>9</v>
      </c>
      <c r="C659" s="1">
        <v>25290</v>
      </c>
      <c r="D659" s="1" t="s">
        <v>32</v>
      </c>
      <c r="E659">
        <v>43.81803</v>
      </c>
      <c r="F659">
        <v>11.211550000000001</v>
      </c>
      <c r="G659" s="1">
        <v>25398</v>
      </c>
      <c r="H659" s="1" t="s">
        <v>31</v>
      </c>
      <c r="I659">
        <v>43.769460000000002</v>
      </c>
      <c r="J659">
        <v>11.19172</v>
      </c>
      <c r="K659">
        <v>35</v>
      </c>
      <c r="L659">
        <v>2019.72</v>
      </c>
      <c r="M659">
        <v>11182.78320227965</v>
      </c>
      <c r="N659">
        <v>4</v>
      </c>
      <c r="O659">
        <v>2019.72</v>
      </c>
    </row>
    <row r="660" spans="1:15" x14ac:dyDescent="0.25">
      <c r="A660">
        <v>170</v>
      </c>
      <c r="B660" t="s">
        <v>9</v>
      </c>
      <c r="C660" s="1">
        <v>25290</v>
      </c>
      <c r="D660" s="1" t="s">
        <v>32</v>
      </c>
      <c r="E660">
        <v>43.81803</v>
      </c>
      <c r="F660">
        <v>11.211550000000001</v>
      </c>
      <c r="G660" s="1">
        <v>25400</v>
      </c>
      <c r="H660" s="1" t="s">
        <v>31</v>
      </c>
      <c r="I660">
        <v>43.798690000000001</v>
      </c>
      <c r="J660">
        <v>11.20762</v>
      </c>
      <c r="K660">
        <v>73</v>
      </c>
      <c r="L660">
        <v>6189.96</v>
      </c>
      <c r="M660">
        <v>10086.622536287879</v>
      </c>
      <c r="N660">
        <v>7</v>
      </c>
      <c r="O660">
        <v>6189.96</v>
      </c>
    </row>
    <row r="661" spans="1:15" x14ac:dyDescent="0.25">
      <c r="A661">
        <v>170</v>
      </c>
      <c r="B661" t="s">
        <v>9</v>
      </c>
      <c r="C661" s="1">
        <v>25290</v>
      </c>
      <c r="D661" s="1" t="s">
        <v>32</v>
      </c>
      <c r="E661">
        <v>43.81803</v>
      </c>
      <c r="F661">
        <v>11.211550000000001</v>
      </c>
      <c r="G661" s="1">
        <v>25401</v>
      </c>
      <c r="H661" s="1" t="s">
        <v>36</v>
      </c>
      <c r="I661">
        <v>43.87838</v>
      </c>
      <c r="J661">
        <v>11.103210000000001</v>
      </c>
      <c r="K661">
        <v>155</v>
      </c>
      <c r="L661">
        <v>2791.3</v>
      </c>
      <c r="M661">
        <v>18690.63308531417</v>
      </c>
      <c r="N661">
        <v>5</v>
      </c>
      <c r="O661">
        <v>2791.3</v>
      </c>
    </row>
    <row r="662" spans="1:15" x14ac:dyDescent="0.25">
      <c r="A662">
        <v>170</v>
      </c>
      <c r="B662" t="s">
        <v>9</v>
      </c>
      <c r="C662" s="1">
        <v>25290</v>
      </c>
      <c r="D662" s="1" t="s">
        <v>32</v>
      </c>
      <c r="E662">
        <v>43.81803</v>
      </c>
      <c r="F662">
        <v>11.211550000000001</v>
      </c>
      <c r="G662" s="1">
        <v>25417</v>
      </c>
      <c r="H662" s="1" t="s">
        <v>37</v>
      </c>
      <c r="I662">
        <v>43.754040000000003</v>
      </c>
      <c r="J662">
        <v>11.32128</v>
      </c>
      <c r="K662">
        <v>64</v>
      </c>
      <c r="L662">
        <v>973.3</v>
      </c>
      <c r="M662">
        <v>14194.18689443885</v>
      </c>
      <c r="N662">
        <v>2</v>
      </c>
      <c r="O662">
        <v>973.3</v>
      </c>
    </row>
    <row r="663" spans="1:15" x14ac:dyDescent="0.25">
      <c r="A663">
        <v>170</v>
      </c>
      <c r="B663" t="s">
        <v>9</v>
      </c>
      <c r="C663" s="1">
        <v>25398</v>
      </c>
      <c r="D663" s="1" t="s">
        <v>31</v>
      </c>
      <c r="E663">
        <v>43.769460000000002</v>
      </c>
      <c r="F663">
        <v>11.19172</v>
      </c>
      <c r="G663" s="1">
        <v>25239</v>
      </c>
      <c r="H663" s="1" t="s">
        <v>31</v>
      </c>
      <c r="I663">
        <v>43.77281</v>
      </c>
      <c r="J663">
        <v>11.29452</v>
      </c>
      <c r="K663">
        <v>34</v>
      </c>
      <c r="L663">
        <v>134</v>
      </c>
      <c r="M663">
        <v>2916.6137454326399</v>
      </c>
      <c r="N663">
        <v>1</v>
      </c>
      <c r="O663">
        <v>134</v>
      </c>
    </row>
    <row r="664" spans="1:15" x14ac:dyDescent="0.25">
      <c r="A664">
        <v>170</v>
      </c>
      <c r="B664" t="s">
        <v>9</v>
      </c>
      <c r="C664" s="1">
        <v>25398</v>
      </c>
      <c r="D664" s="1" t="s">
        <v>31</v>
      </c>
      <c r="E664">
        <v>43.769460000000002</v>
      </c>
      <c r="F664">
        <v>11.19172</v>
      </c>
      <c r="G664" s="1">
        <v>25290</v>
      </c>
      <c r="H664" s="1" t="s">
        <v>32</v>
      </c>
      <c r="I664">
        <v>43.81803</v>
      </c>
      <c r="J664">
        <v>11.211550000000001</v>
      </c>
      <c r="K664">
        <v>4</v>
      </c>
      <c r="L664">
        <v>38</v>
      </c>
      <c r="M664">
        <v>4377.3511296034876</v>
      </c>
      <c r="N664">
        <v>1</v>
      </c>
      <c r="O664">
        <v>38</v>
      </c>
    </row>
    <row r="665" spans="1:15" x14ac:dyDescent="0.25">
      <c r="A665">
        <v>170</v>
      </c>
      <c r="B665" t="s">
        <v>9</v>
      </c>
      <c r="C665" s="1">
        <v>25400</v>
      </c>
      <c r="D665" s="1" t="s">
        <v>31</v>
      </c>
      <c r="E665">
        <v>43.798690000000001</v>
      </c>
      <c r="F665">
        <v>11.20762</v>
      </c>
      <c r="G665" s="1">
        <v>25290</v>
      </c>
      <c r="H665" s="1" t="s">
        <v>32</v>
      </c>
      <c r="I665">
        <v>43.81803</v>
      </c>
      <c r="J665">
        <v>11.211550000000001</v>
      </c>
      <c r="K665">
        <v>70</v>
      </c>
      <c r="L665">
        <v>159.91999999999999</v>
      </c>
      <c r="M665">
        <v>2673.5625999799199</v>
      </c>
      <c r="N665">
        <v>2</v>
      </c>
      <c r="O665">
        <v>159.91999999999999</v>
      </c>
    </row>
    <row r="666" spans="1:15" x14ac:dyDescent="0.25">
      <c r="A666">
        <v>170</v>
      </c>
      <c r="B666" t="s">
        <v>9</v>
      </c>
      <c r="C666" s="1">
        <v>25400</v>
      </c>
      <c r="D666" s="1" t="s">
        <v>31</v>
      </c>
      <c r="E666">
        <v>43.798690000000001</v>
      </c>
      <c r="F666">
        <v>11.20762</v>
      </c>
      <c r="G666" s="1">
        <v>25398</v>
      </c>
      <c r="H666" s="1" t="s">
        <v>31</v>
      </c>
      <c r="I666">
        <v>43.769460000000002</v>
      </c>
      <c r="J666">
        <v>11.19172</v>
      </c>
      <c r="K666">
        <v>13</v>
      </c>
      <c r="L666">
        <v>961.4</v>
      </c>
      <c r="M666">
        <v>2989.529089068456</v>
      </c>
      <c r="N666">
        <v>2</v>
      </c>
      <c r="O666">
        <v>961.4</v>
      </c>
    </row>
    <row r="667" spans="1:15" x14ac:dyDescent="0.25">
      <c r="A667">
        <v>170</v>
      </c>
      <c r="B667" t="s">
        <v>9</v>
      </c>
      <c r="C667" s="1">
        <v>25401</v>
      </c>
      <c r="D667" s="1" t="s">
        <v>36</v>
      </c>
      <c r="E667">
        <v>43.87838</v>
      </c>
      <c r="F667">
        <v>11.103210000000001</v>
      </c>
      <c r="G667" s="1">
        <v>25290</v>
      </c>
      <c r="H667" s="1" t="s">
        <v>32</v>
      </c>
      <c r="I667">
        <v>43.81803</v>
      </c>
      <c r="J667">
        <v>11.211550000000001</v>
      </c>
      <c r="K667">
        <v>4</v>
      </c>
      <c r="L667">
        <v>58.8</v>
      </c>
      <c r="M667">
        <v>3767.2927545171601</v>
      </c>
      <c r="N667">
        <v>1</v>
      </c>
      <c r="O667">
        <v>58.8</v>
      </c>
    </row>
    <row r="668" spans="1:15" x14ac:dyDescent="0.25">
      <c r="A668">
        <v>170</v>
      </c>
      <c r="B668" t="s">
        <v>9</v>
      </c>
      <c r="C668" s="1">
        <v>25401</v>
      </c>
      <c r="D668" s="1" t="s">
        <v>36</v>
      </c>
      <c r="E668">
        <v>43.87838</v>
      </c>
      <c r="F668">
        <v>11.103210000000001</v>
      </c>
      <c r="G668" s="1">
        <v>25433</v>
      </c>
      <c r="H668" s="1" t="s">
        <v>44</v>
      </c>
      <c r="I668">
        <v>43.923850000000002</v>
      </c>
      <c r="J668">
        <v>11.03511</v>
      </c>
      <c r="K668">
        <v>18</v>
      </c>
      <c r="L668">
        <v>792</v>
      </c>
      <c r="M668">
        <v>2916.6137454326399</v>
      </c>
      <c r="N668">
        <v>1</v>
      </c>
      <c r="O668">
        <v>792</v>
      </c>
    </row>
    <row r="669" spans="1:15" x14ac:dyDescent="0.25">
      <c r="A669">
        <v>170</v>
      </c>
      <c r="B669" t="s">
        <v>9</v>
      </c>
      <c r="C669" s="1">
        <v>25421</v>
      </c>
      <c r="D669" s="1" t="s">
        <v>41</v>
      </c>
      <c r="E669">
        <v>43.619419999999998</v>
      </c>
      <c r="F669">
        <v>11.47508</v>
      </c>
      <c r="G669" s="1">
        <v>4142</v>
      </c>
      <c r="H669" s="1" t="s">
        <v>42</v>
      </c>
      <c r="I669">
        <v>43.529310000000002</v>
      </c>
      <c r="J669">
        <v>11.56737</v>
      </c>
      <c r="K669">
        <v>14</v>
      </c>
      <c r="L669">
        <v>86.4</v>
      </c>
      <c r="M669">
        <v>3645.7671817907999</v>
      </c>
      <c r="N669">
        <v>1</v>
      </c>
      <c r="O669">
        <v>86.4</v>
      </c>
    </row>
    <row r="670" spans="1:15" x14ac:dyDescent="0.25">
      <c r="A670">
        <v>170</v>
      </c>
      <c r="B670" t="s">
        <v>9</v>
      </c>
      <c r="C670" s="1">
        <v>25421</v>
      </c>
      <c r="D670" s="1" t="s">
        <v>41</v>
      </c>
      <c r="E670">
        <v>43.619419999999998</v>
      </c>
      <c r="F670">
        <v>11.47508</v>
      </c>
      <c r="G670" s="1">
        <v>4144</v>
      </c>
      <c r="H670" s="1" t="s">
        <v>38</v>
      </c>
      <c r="I670">
        <v>43.568049999999999</v>
      </c>
      <c r="J670">
        <v>11.529260000000001</v>
      </c>
      <c r="K670">
        <v>5</v>
      </c>
      <c r="L670">
        <v>194.4</v>
      </c>
      <c r="M670">
        <v>2187.4603090744799</v>
      </c>
      <c r="N670">
        <v>1</v>
      </c>
      <c r="O670">
        <v>194.4</v>
      </c>
    </row>
    <row r="671" spans="1:15" x14ac:dyDescent="0.25">
      <c r="A671">
        <v>170</v>
      </c>
      <c r="B671" t="s">
        <v>9</v>
      </c>
      <c r="C671" s="1">
        <v>32094</v>
      </c>
      <c r="D671" s="1" t="s">
        <v>54</v>
      </c>
      <c r="E671">
        <v>43.304879999999997</v>
      </c>
      <c r="F671">
        <v>10.5182</v>
      </c>
      <c r="G671" s="1">
        <v>32098</v>
      </c>
      <c r="H671" s="1" t="s">
        <v>50</v>
      </c>
      <c r="I671">
        <v>43.393940000000001</v>
      </c>
      <c r="J671">
        <v>10.43547</v>
      </c>
      <c r="K671">
        <v>7</v>
      </c>
      <c r="L671">
        <v>70.8</v>
      </c>
      <c r="M671">
        <v>2189.8908205290072</v>
      </c>
      <c r="N671">
        <v>1</v>
      </c>
      <c r="O671">
        <v>70.8</v>
      </c>
    </row>
    <row r="672" spans="1:15" x14ac:dyDescent="0.25">
      <c r="A672">
        <v>170</v>
      </c>
      <c r="B672" t="s">
        <v>9</v>
      </c>
      <c r="C672" s="1">
        <v>33212</v>
      </c>
      <c r="D672" s="1" t="s">
        <v>46</v>
      </c>
      <c r="E672">
        <v>43.844110000000001</v>
      </c>
      <c r="F672">
        <v>10.525460000000001</v>
      </c>
      <c r="G672" s="1">
        <v>77150</v>
      </c>
      <c r="H672" s="1" t="s">
        <v>46</v>
      </c>
      <c r="I672">
        <v>43.860230000000001</v>
      </c>
      <c r="J672">
        <v>10.51596</v>
      </c>
      <c r="K672">
        <v>2</v>
      </c>
      <c r="L672">
        <v>153</v>
      </c>
      <c r="M672">
        <v>1069.4250399919681</v>
      </c>
      <c r="N672">
        <v>1</v>
      </c>
      <c r="O672">
        <v>153</v>
      </c>
    </row>
    <row r="673" spans="1:15" x14ac:dyDescent="0.25">
      <c r="A673">
        <v>170</v>
      </c>
      <c r="B673" t="s">
        <v>9</v>
      </c>
      <c r="C673" s="1">
        <v>33214</v>
      </c>
      <c r="D673" s="1" t="s">
        <v>51</v>
      </c>
      <c r="E673">
        <v>43.868270000000003</v>
      </c>
      <c r="F673">
        <v>10.252879999999999</v>
      </c>
      <c r="G673" s="1">
        <v>33220</v>
      </c>
      <c r="H673" s="1" t="s">
        <v>39</v>
      </c>
      <c r="I673">
        <v>43.894159999999999</v>
      </c>
      <c r="J673">
        <v>10.22714</v>
      </c>
      <c r="K673">
        <v>3</v>
      </c>
      <c r="L673">
        <v>210.7</v>
      </c>
      <c r="M673">
        <v>4642.2768781469513</v>
      </c>
      <c r="N673">
        <v>4</v>
      </c>
      <c r="O673">
        <v>210.7</v>
      </c>
    </row>
    <row r="674" spans="1:15" x14ac:dyDescent="0.25">
      <c r="A674">
        <v>170</v>
      </c>
      <c r="B674" t="s">
        <v>9</v>
      </c>
      <c r="C674" s="1">
        <v>33218</v>
      </c>
      <c r="D674" s="1" t="s">
        <v>52</v>
      </c>
      <c r="E674">
        <v>44.033050000000003</v>
      </c>
      <c r="F674">
        <v>10.50367</v>
      </c>
      <c r="G674" s="1">
        <v>33219</v>
      </c>
      <c r="H674" s="1" t="s">
        <v>47</v>
      </c>
      <c r="I674">
        <v>44.110500000000002</v>
      </c>
      <c r="J674">
        <v>10.41159</v>
      </c>
      <c r="K674">
        <v>24</v>
      </c>
      <c r="L674">
        <v>358.5</v>
      </c>
      <c r="M674">
        <v>4131.8694726962403</v>
      </c>
      <c r="N674">
        <v>1</v>
      </c>
      <c r="O674">
        <v>358.5</v>
      </c>
    </row>
    <row r="675" spans="1:15" x14ac:dyDescent="0.25">
      <c r="A675">
        <v>170</v>
      </c>
      <c r="B675" t="s">
        <v>9</v>
      </c>
      <c r="C675" s="1">
        <v>33220</v>
      </c>
      <c r="D675" s="1" t="s">
        <v>39</v>
      </c>
      <c r="E675">
        <v>43.894159999999999</v>
      </c>
      <c r="F675">
        <v>10.22714</v>
      </c>
      <c r="G675" s="1">
        <v>33221</v>
      </c>
      <c r="H675" s="1" t="s">
        <v>40</v>
      </c>
      <c r="I675">
        <v>43.956339999999997</v>
      </c>
      <c r="J675">
        <v>10.22996</v>
      </c>
      <c r="K675">
        <v>5</v>
      </c>
      <c r="L675">
        <v>168.3</v>
      </c>
      <c r="M675">
        <v>10164.398902832751</v>
      </c>
      <c r="N675">
        <v>4</v>
      </c>
      <c r="O675">
        <v>168.3</v>
      </c>
    </row>
    <row r="676" spans="1:15" x14ac:dyDescent="0.25">
      <c r="A676">
        <v>170</v>
      </c>
      <c r="B676" t="s">
        <v>9</v>
      </c>
      <c r="C676" s="1">
        <v>4144</v>
      </c>
      <c r="D676" s="1" t="s">
        <v>38</v>
      </c>
      <c r="E676">
        <v>43.568049999999999</v>
      </c>
      <c r="F676">
        <v>11.529260000000001</v>
      </c>
      <c r="G676" s="1">
        <v>25421</v>
      </c>
      <c r="H676" s="1" t="s">
        <v>41</v>
      </c>
      <c r="I676">
        <v>43.619419999999998</v>
      </c>
      <c r="J676">
        <v>11.47508</v>
      </c>
      <c r="K676">
        <v>2</v>
      </c>
      <c r="L676">
        <v>82.6</v>
      </c>
      <c r="M676">
        <v>6691.1980343133819</v>
      </c>
      <c r="N676">
        <v>1</v>
      </c>
      <c r="O676">
        <v>82.6</v>
      </c>
    </row>
    <row r="677" spans="1:15" x14ac:dyDescent="0.25">
      <c r="A677">
        <v>170</v>
      </c>
      <c r="B677" t="s">
        <v>9</v>
      </c>
      <c r="C677" s="1">
        <v>4144</v>
      </c>
      <c r="D677" s="1" t="s">
        <v>38</v>
      </c>
      <c r="E677">
        <v>43.568049999999999</v>
      </c>
      <c r="F677">
        <v>11.529260000000001</v>
      </c>
      <c r="G677" s="1">
        <v>4142</v>
      </c>
      <c r="H677" s="1" t="s">
        <v>42</v>
      </c>
      <c r="I677">
        <v>43.529310000000002</v>
      </c>
      <c r="J677">
        <v>11.56737</v>
      </c>
      <c r="K677">
        <v>5</v>
      </c>
      <c r="L677">
        <v>244.6</v>
      </c>
      <c r="M677">
        <v>1458.30687271632</v>
      </c>
      <c r="N677">
        <v>1</v>
      </c>
      <c r="O677">
        <v>244.6</v>
      </c>
    </row>
    <row r="678" spans="1:15" x14ac:dyDescent="0.25">
      <c r="A678">
        <v>170</v>
      </c>
      <c r="B678" t="s">
        <v>9</v>
      </c>
      <c r="C678" s="1">
        <v>46445</v>
      </c>
      <c r="D678" s="1" t="s">
        <v>35</v>
      </c>
      <c r="E678">
        <v>43.10801</v>
      </c>
      <c r="F678">
        <v>12.377940000000001</v>
      </c>
      <c r="G678" s="1">
        <v>46468</v>
      </c>
      <c r="H678" s="1" t="s">
        <v>33</v>
      </c>
      <c r="I678">
        <v>43.116489999999999</v>
      </c>
      <c r="J678">
        <v>12.45126</v>
      </c>
      <c r="K678">
        <v>7</v>
      </c>
      <c r="L678">
        <v>369.4</v>
      </c>
      <c r="M678">
        <v>9381.7742144749918</v>
      </c>
      <c r="N678">
        <v>3</v>
      </c>
      <c r="O678">
        <v>369.4</v>
      </c>
    </row>
    <row r="679" spans="1:15" x14ac:dyDescent="0.25">
      <c r="A679">
        <v>170</v>
      </c>
      <c r="B679" t="s">
        <v>9</v>
      </c>
      <c r="C679" s="1">
        <v>46445</v>
      </c>
      <c r="D679" s="1" t="s">
        <v>35</v>
      </c>
      <c r="E679">
        <v>43.10801</v>
      </c>
      <c r="F679">
        <v>12.377940000000001</v>
      </c>
      <c r="G679" s="1">
        <v>46471</v>
      </c>
      <c r="H679" s="1" t="s">
        <v>34</v>
      </c>
      <c r="I679">
        <v>43.10031</v>
      </c>
      <c r="J679">
        <v>12.318519999999999</v>
      </c>
      <c r="K679">
        <v>11</v>
      </c>
      <c r="L679">
        <v>377</v>
      </c>
      <c r="M679">
        <v>5420.0405435956563</v>
      </c>
      <c r="N679">
        <v>3</v>
      </c>
      <c r="O679">
        <v>377</v>
      </c>
    </row>
    <row r="680" spans="1:15" x14ac:dyDescent="0.25">
      <c r="A680">
        <v>170</v>
      </c>
      <c r="B680" t="s">
        <v>9</v>
      </c>
      <c r="C680" s="1">
        <v>46471</v>
      </c>
      <c r="D680" s="1" t="s">
        <v>34</v>
      </c>
      <c r="E680">
        <v>43.10031</v>
      </c>
      <c r="F680">
        <v>12.318519999999999</v>
      </c>
      <c r="G680" s="1">
        <v>46445</v>
      </c>
      <c r="H680" s="1" t="s">
        <v>35</v>
      </c>
      <c r="I680">
        <v>43.10801</v>
      </c>
      <c r="J680">
        <v>12.377940000000001</v>
      </c>
      <c r="K680">
        <v>11</v>
      </c>
      <c r="L680">
        <v>678.88</v>
      </c>
      <c r="M680">
        <v>1701.35801816904</v>
      </c>
      <c r="N680">
        <v>1</v>
      </c>
      <c r="O680">
        <v>678.88</v>
      </c>
    </row>
    <row r="681" spans="1:15" x14ac:dyDescent="0.25">
      <c r="A681">
        <v>170</v>
      </c>
      <c r="B681" t="s">
        <v>9</v>
      </c>
      <c r="C681" s="1">
        <v>59131</v>
      </c>
      <c r="D681" s="1" t="s">
        <v>45</v>
      </c>
      <c r="E681">
        <v>43.331879999999998</v>
      </c>
      <c r="F681">
        <v>11.32122</v>
      </c>
      <c r="G681" s="1">
        <v>59157</v>
      </c>
      <c r="H681" s="1" t="s">
        <v>45</v>
      </c>
      <c r="I681">
        <v>43.29034</v>
      </c>
      <c r="J681">
        <v>11.33822</v>
      </c>
      <c r="K681">
        <v>20</v>
      </c>
      <c r="L681">
        <v>1303.42</v>
      </c>
      <c r="M681">
        <v>4.8610229090543999</v>
      </c>
      <c r="N681">
        <v>2</v>
      </c>
      <c r="O681">
        <v>1303.42</v>
      </c>
    </row>
    <row r="682" spans="1:15" x14ac:dyDescent="0.25">
      <c r="A682">
        <v>170</v>
      </c>
      <c r="B682" t="s">
        <v>9</v>
      </c>
      <c r="C682" s="1">
        <v>59157</v>
      </c>
      <c r="D682" s="1" t="s">
        <v>45</v>
      </c>
      <c r="E682">
        <v>43.29034</v>
      </c>
      <c r="F682">
        <v>11.33822</v>
      </c>
      <c r="G682" s="1">
        <v>59131</v>
      </c>
      <c r="H682" s="1" t="s">
        <v>45</v>
      </c>
      <c r="I682">
        <v>43.331879999999998</v>
      </c>
      <c r="J682">
        <v>11.32122</v>
      </c>
      <c r="K682">
        <v>12</v>
      </c>
      <c r="L682">
        <v>408.4</v>
      </c>
      <c r="M682">
        <v>2187.4603090744799</v>
      </c>
      <c r="N682">
        <v>1</v>
      </c>
      <c r="O682">
        <v>408.4</v>
      </c>
    </row>
    <row r="683" spans="1:15" x14ac:dyDescent="0.25">
      <c r="A683">
        <v>170</v>
      </c>
      <c r="B683" t="s">
        <v>9</v>
      </c>
      <c r="C683" s="1">
        <v>77343</v>
      </c>
      <c r="D683" s="1" t="s">
        <v>43</v>
      </c>
      <c r="E683">
        <v>42.812559999999998</v>
      </c>
      <c r="F683">
        <v>10.31758</v>
      </c>
      <c r="G683" s="1">
        <v>32095</v>
      </c>
      <c r="H683" s="1" t="s">
        <v>43</v>
      </c>
      <c r="I683">
        <v>42.810519999999997</v>
      </c>
      <c r="J683">
        <v>10.30799</v>
      </c>
      <c r="K683">
        <v>3</v>
      </c>
      <c r="L683">
        <v>273.7</v>
      </c>
      <c r="M683">
        <v>291.661374543264</v>
      </c>
      <c r="N683">
        <v>1</v>
      </c>
      <c r="O683">
        <v>273.7</v>
      </c>
    </row>
    <row r="684" spans="1:15" x14ac:dyDescent="0.25">
      <c r="A684">
        <v>170</v>
      </c>
      <c r="B684" t="s">
        <v>9</v>
      </c>
      <c r="C684" s="1">
        <v>85210</v>
      </c>
      <c r="D684" s="1" t="s">
        <v>49</v>
      </c>
      <c r="E684">
        <v>43.928640000000001</v>
      </c>
      <c r="F684">
        <v>10.9284</v>
      </c>
      <c r="G684" s="1">
        <v>77334</v>
      </c>
      <c r="H684" s="1" t="s">
        <v>49</v>
      </c>
      <c r="I684">
        <v>43.939680000000003</v>
      </c>
      <c r="J684">
        <v>10.943490000000001</v>
      </c>
      <c r="K684">
        <v>1</v>
      </c>
      <c r="L684">
        <v>37</v>
      </c>
      <c r="M684">
        <v>850.67900908451998</v>
      </c>
      <c r="N684">
        <v>1</v>
      </c>
      <c r="O684">
        <v>37</v>
      </c>
    </row>
    <row r="685" spans="1:15" x14ac:dyDescent="0.25">
      <c r="A685">
        <v>170</v>
      </c>
      <c r="B685" t="s">
        <v>9</v>
      </c>
      <c r="C685" s="1">
        <v>92197</v>
      </c>
      <c r="D685" s="1" t="s">
        <v>53</v>
      </c>
      <c r="E685">
        <v>42.570590000000003</v>
      </c>
      <c r="F685">
        <v>12.632300000000001</v>
      </c>
      <c r="G685" s="1">
        <v>92198</v>
      </c>
      <c r="H685" s="1" t="s">
        <v>48</v>
      </c>
      <c r="I685">
        <v>42.529159999999997</v>
      </c>
      <c r="J685">
        <v>12.51361</v>
      </c>
      <c r="K685">
        <v>25</v>
      </c>
      <c r="L685">
        <v>475</v>
      </c>
      <c r="M685">
        <v>7218.6190199457833</v>
      </c>
      <c r="N685">
        <v>2</v>
      </c>
      <c r="O685">
        <v>475</v>
      </c>
    </row>
    <row r="686" spans="1:15" x14ac:dyDescent="0.25">
      <c r="A686">
        <v>190</v>
      </c>
      <c r="B686" t="s">
        <v>7</v>
      </c>
      <c r="C686" s="1">
        <v>25290</v>
      </c>
      <c r="D686" s="1" t="s">
        <v>32</v>
      </c>
      <c r="E686">
        <v>43.81803</v>
      </c>
      <c r="F686">
        <v>11.211550000000001</v>
      </c>
      <c r="G686" s="1">
        <v>25239</v>
      </c>
      <c r="H686" s="1" t="s">
        <v>31</v>
      </c>
      <c r="I686">
        <v>43.77281</v>
      </c>
      <c r="J686">
        <v>11.29452</v>
      </c>
      <c r="K686">
        <v>130</v>
      </c>
      <c r="L686">
        <v>4987.1000000000004</v>
      </c>
      <c r="M686">
        <v>18228.835908953999</v>
      </c>
      <c r="N686">
        <v>5</v>
      </c>
      <c r="O686">
        <v>4987.1000000000004</v>
      </c>
    </row>
    <row r="687" spans="1:15" x14ac:dyDescent="0.25">
      <c r="A687">
        <v>190</v>
      </c>
      <c r="B687" t="s">
        <v>7</v>
      </c>
      <c r="C687" s="1">
        <v>25290</v>
      </c>
      <c r="D687" s="1" t="s">
        <v>32</v>
      </c>
      <c r="E687">
        <v>43.81803</v>
      </c>
      <c r="F687">
        <v>11.211550000000001</v>
      </c>
      <c r="G687" s="1">
        <v>25398</v>
      </c>
      <c r="H687" s="1" t="s">
        <v>31</v>
      </c>
      <c r="I687">
        <v>43.769460000000002</v>
      </c>
      <c r="J687">
        <v>11.19172</v>
      </c>
      <c r="K687">
        <v>68</v>
      </c>
      <c r="L687">
        <v>2019.72</v>
      </c>
      <c r="M687">
        <v>11182.78320227965</v>
      </c>
      <c r="N687">
        <v>4</v>
      </c>
      <c r="O687">
        <v>2019.72</v>
      </c>
    </row>
    <row r="688" spans="1:15" x14ac:dyDescent="0.25">
      <c r="A688">
        <v>190</v>
      </c>
      <c r="B688" t="s">
        <v>7</v>
      </c>
      <c r="C688" s="1">
        <v>25290</v>
      </c>
      <c r="D688" s="1" t="s">
        <v>32</v>
      </c>
      <c r="E688">
        <v>43.81803</v>
      </c>
      <c r="F688">
        <v>11.211550000000001</v>
      </c>
      <c r="G688" s="1">
        <v>25400</v>
      </c>
      <c r="H688" s="1" t="s">
        <v>31</v>
      </c>
      <c r="I688">
        <v>43.798690000000001</v>
      </c>
      <c r="J688">
        <v>11.20762</v>
      </c>
      <c r="K688">
        <v>73</v>
      </c>
      <c r="L688">
        <v>6189.96</v>
      </c>
      <c r="M688">
        <v>10086.622536287879</v>
      </c>
      <c r="N688">
        <v>7</v>
      </c>
      <c r="O688">
        <v>6189.96</v>
      </c>
    </row>
    <row r="689" spans="1:15" x14ac:dyDescent="0.25">
      <c r="A689">
        <v>190</v>
      </c>
      <c r="B689" t="s">
        <v>7</v>
      </c>
      <c r="C689" s="1">
        <v>25290</v>
      </c>
      <c r="D689" s="1" t="s">
        <v>32</v>
      </c>
      <c r="E689">
        <v>43.81803</v>
      </c>
      <c r="F689">
        <v>11.211550000000001</v>
      </c>
      <c r="G689" s="1">
        <v>25401</v>
      </c>
      <c r="H689" s="1" t="s">
        <v>36</v>
      </c>
      <c r="I689">
        <v>43.87838</v>
      </c>
      <c r="J689">
        <v>11.103210000000001</v>
      </c>
      <c r="K689">
        <v>155</v>
      </c>
      <c r="L689">
        <v>2791.3</v>
      </c>
      <c r="M689">
        <v>18690.63308531417</v>
      </c>
      <c r="N689">
        <v>5</v>
      </c>
      <c r="O689">
        <v>2791.3</v>
      </c>
    </row>
    <row r="690" spans="1:15" x14ac:dyDescent="0.25">
      <c r="A690">
        <v>190</v>
      </c>
      <c r="B690" t="s">
        <v>7</v>
      </c>
      <c r="C690" s="1">
        <v>25290</v>
      </c>
      <c r="D690" s="1" t="s">
        <v>32</v>
      </c>
      <c r="E690">
        <v>43.81803</v>
      </c>
      <c r="F690">
        <v>11.211550000000001</v>
      </c>
      <c r="G690" s="1">
        <v>25417</v>
      </c>
      <c r="H690" s="1" t="s">
        <v>37</v>
      </c>
      <c r="I690">
        <v>43.754040000000003</v>
      </c>
      <c r="J690">
        <v>11.32128</v>
      </c>
      <c r="K690">
        <v>64</v>
      </c>
      <c r="L690">
        <v>973.3</v>
      </c>
      <c r="M690">
        <v>14194.18689443885</v>
      </c>
      <c r="N690">
        <v>2</v>
      </c>
      <c r="O690">
        <v>973.3</v>
      </c>
    </row>
    <row r="691" spans="1:15" x14ac:dyDescent="0.25">
      <c r="A691">
        <v>190</v>
      </c>
      <c r="B691" t="s">
        <v>7</v>
      </c>
      <c r="C691" s="1">
        <v>25398</v>
      </c>
      <c r="D691" s="1" t="s">
        <v>31</v>
      </c>
      <c r="E691">
        <v>43.769460000000002</v>
      </c>
      <c r="F691">
        <v>11.19172</v>
      </c>
      <c r="G691" s="1">
        <v>25239</v>
      </c>
      <c r="H691" s="1" t="s">
        <v>31</v>
      </c>
      <c r="I691">
        <v>43.77281</v>
      </c>
      <c r="J691">
        <v>11.29452</v>
      </c>
      <c r="K691">
        <v>4</v>
      </c>
      <c r="L691">
        <v>134</v>
      </c>
      <c r="M691">
        <v>2916.6137454326399</v>
      </c>
      <c r="N691">
        <v>1</v>
      </c>
      <c r="O691">
        <v>134</v>
      </c>
    </row>
    <row r="692" spans="1:15" x14ac:dyDescent="0.25">
      <c r="A692">
        <v>190</v>
      </c>
      <c r="B692" t="s">
        <v>7</v>
      </c>
      <c r="C692" s="1">
        <v>25398</v>
      </c>
      <c r="D692" s="1" t="s">
        <v>31</v>
      </c>
      <c r="E692">
        <v>43.769460000000002</v>
      </c>
      <c r="F692">
        <v>11.19172</v>
      </c>
      <c r="G692" s="1">
        <v>25290</v>
      </c>
      <c r="H692" s="1" t="s">
        <v>32</v>
      </c>
      <c r="I692">
        <v>43.81803</v>
      </c>
      <c r="J692">
        <v>11.211550000000001</v>
      </c>
      <c r="K692">
        <v>132</v>
      </c>
      <c r="L692">
        <v>38</v>
      </c>
      <c r="M692">
        <v>4377.3511296034876</v>
      </c>
      <c r="N692">
        <v>1</v>
      </c>
      <c r="O692">
        <v>38</v>
      </c>
    </row>
    <row r="693" spans="1:15" x14ac:dyDescent="0.25">
      <c r="A693">
        <v>190</v>
      </c>
      <c r="B693" t="s">
        <v>7</v>
      </c>
      <c r="C693" s="1">
        <v>25400</v>
      </c>
      <c r="D693" s="1" t="s">
        <v>31</v>
      </c>
      <c r="E693">
        <v>43.798690000000001</v>
      </c>
      <c r="F693">
        <v>11.20762</v>
      </c>
      <c r="G693" s="1">
        <v>25290</v>
      </c>
      <c r="H693" s="1" t="s">
        <v>32</v>
      </c>
      <c r="I693">
        <v>43.81803</v>
      </c>
      <c r="J693">
        <v>11.211550000000001</v>
      </c>
      <c r="K693">
        <v>5</v>
      </c>
      <c r="L693">
        <v>159.91999999999999</v>
      </c>
      <c r="M693">
        <v>2673.5625999799199</v>
      </c>
      <c r="N693">
        <v>2</v>
      </c>
      <c r="O693">
        <v>159.91999999999999</v>
      </c>
    </row>
    <row r="694" spans="1:15" x14ac:dyDescent="0.25">
      <c r="A694">
        <v>190</v>
      </c>
      <c r="B694" t="s">
        <v>7</v>
      </c>
      <c r="C694" s="1">
        <v>25400</v>
      </c>
      <c r="D694" s="1" t="s">
        <v>31</v>
      </c>
      <c r="E694">
        <v>43.798690000000001</v>
      </c>
      <c r="F694">
        <v>11.20762</v>
      </c>
      <c r="G694" s="1">
        <v>25398</v>
      </c>
      <c r="H694" s="1" t="s">
        <v>31</v>
      </c>
      <c r="I694">
        <v>43.769460000000002</v>
      </c>
      <c r="J694">
        <v>11.19172</v>
      </c>
      <c r="K694">
        <v>68</v>
      </c>
      <c r="L694">
        <v>961.4</v>
      </c>
      <c r="M694">
        <v>2989.529089068456</v>
      </c>
      <c r="N694">
        <v>2</v>
      </c>
      <c r="O694">
        <v>961.4</v>
      </c>
    </row>
    <row r="695" spans="1:15" x14ac:dyDescent="0.25">
      <c r="A695">
        <v>190</v>
      </c>
      <c r="B695" t="s">
        <v>7</v>
      </c>
      <c r="C695" s="1">
        <v>25401</v>
      </c>
      <c r="D695" s="1" t="s">
        <v>36</v>
      </c>
      <c r="E695">
        <v>43.87838</v>
      </c>
      <c r="F695">
        <v>11.103210000000001</v>
      </c>
      <c r="G695" s="1">
        <v>25290</v>
      </c>
      <c r="H695" s="1" t="s">
        <v>32</v>
      </c>
      <c r="I695">
        <v>43.81803</v>
      </c>
      <c r="J695">
        <v>11.211550000000001</v>
      </c>
      <c r="K695">
        <v>4</v>
      </c>
      <c r="L695">
        <v>58.8</v>
      </c>
      <c r="M695">
        <v>3767.2927545171601</v>
      </c>
      <c r="N695">
        <v>1</v>
      </c>
      <c r="O695">
        <v>58.8</v>
      </c>
    </row>
    <row r="696" spans="1:15" x14ac:dyDescent="0.25">
      <c r="A696">
        <v>190</v>
      </c>
      <c r="B696" t="s">
        <v>7</v>
      </c>
      <c r="C696" s="1">
        <v>25401</v>
      </c>
      <c r="D696" s="1" t="s">
        <v>36</v>
      </c>
      <c r="E696">
        <v>43.87838</v>
      </c>
      <c r="F696">
        <v>11.103210000000001</v>
      </c>
      <c r="G696" s="1">
        <v>25433</v>
      </c>
      <c r="H696" s="1" t="s">
        <v>44</v>
      </c>
      <c r="I696">
        <v>43.923850000000002</v>
      </c>
      <c r="J696">
        <v>11.03511</v>
      </c>
      <c r="K696">
        <v>18</v>
      </c>
      <c r="L696">
        <v>792</v>
      </c>
      <c r="M696">
        <v>2916.6137454326399</v>
      </c>
      <c r="N696">
        <v>1</v>
      </c>
      <c r="O696">
        <v>792</v>
      </c>
    </row>
    <row r="697" spans="1:15" x14ac:dyDescent="0.25">
      <c r="A697">
        <v>190</v>
      </c>
      <c r="B697" t="s">
        <v>7</v>
      </c>
      <c r="C697" s="1">
        <v>25421</v>
      </c>
      <c r="D697" s="1" t="s">
        <v>41</v>
      </c>
      <c r="E697">
        <v>43.619419999999998</v>
      </c>
      <c r="F697">
        <v>11.47508</v>
      </c>
      <c r="G697" s="1">
        <v>4142</v>
      </c>
      <c r="H697" s="1" t="s">
        <v>42</v>
      </c>
      <c r="I697">
        <v>43.529310000000002</v>
      </c>
      <c r="J697">
        <v>11.56737</v>
      </c>
      <c r="K697">
        <v>14</v>
      </c>
      <c r="L697">
        <v>86.4</v>
      </c>
      <c r="M697">
        <v>3645.7671817907999</v>
      </c>
      <c r="N697">
        <v>1</v>
      </c>
      <c r="O697">
        <v>86.4</v>
      </c>
    </row>
    <row r="698" spans="1:15" x14ac:dyDescent="0.25">
      <c r="A698">
        <v>190</v>
      </c>
      <c r="B698" t="s">
        <v>7</v>
      </c>
      <c r="C698" s="1">
        <v>25421</v>
      </c>
      <c r="D698" s="1" t="s">
        <v>41</v>
      </c>
      <c r="E698">
        <v>43.619419999999998</v>
      </c>
      <c r="F698">
        <v>11.47508</v>
      </c>
      <c r="G698" s="1">
        <v>4144</v>
      </c>
      <c r="H698" s="1" t="s">
        <v>38</v>
      </c>
      <c r="I698">
        <v>43.568049999999999</v>
      </c>
      <c r="J698">
        <v>11.529260000000001</v>
      </c>
      <c r="K698">
        <v>5</v>
      </c>
      <c r="L698">
        <v>194.4</v>
      </c>
      <c r="M698">
        <v>2187.4603090744799</v>
      </c>
      <c r="N698">
        <v>1</v>
      </c>
      <c r="O698">
        <v>194.4</v>
      </c>
    </row>
    <row r="699" spans="1:15" x14ac:dyDescent="0.25">
      <c r="A699">
        <v>190</v>
      </c>
      <c r="B699" t="s">
        <v>7</v>
      </c>
      <c r="C699" s="1">
        <v>32094</v>
      </c>
      <c r="D699" s="1" t="s">
        <v>54</v>
      </c>
      <c r="E699">
        <v>43.304879999999997</v>
      </c>
      <c r="F699">
        <v>10.5182</v>
      </c>
      <c r="G699" s="1">
        <v>32098</v>
      </c>
      <c r="H699" s="1" t="s">
        <v>50</v>
      </c>
      <c r="I699">
        <v>43.393940000000001</v>
      </c>
      <c r="J699">
        <v>10.43547</v>
      </c>
      <c r="K699">
        <v>7</v>
      </c>
      <c r="L699">
        <v>70.8</v>
      </c>
      <c r="M699">
        <v>2189.8908205290072</v>
      </c>
      <c r="N699">
        <v>1</v>
      </c>
      <c r="O699">
        <v>70.8</v>
      </c>
    </row>
    <row r="700" spans="1:15" x14ac:dyDescent="0.25">
      <c r="A700">
        <v>190</v>
      </c>
      <c r="B700" t="s">
        <v>7</v>
      </c>
      <c r="C700" s="1">
        <v>33212</v>
      </c>
      <c r="D700" s="1" t="s">
        <v>46</v>
      </c>
      <c r="E700">
        <v>43.844110000000001</v>
      </c>
      <c r="F700">
        <v>10.525460000000001</v>
      </c>
      <c r="G700" s="1">
        <v>77150</v>
      </c>
      <c r="H700" s="1" t="s">
        <v>46</v>
      </c>
      <c r="I700">
        <v>43.860230000000001</v>
      </c>
      <c r="J700">
        <v>10.51596</v>
      </c>
      <c r="K700">
        <v>2</v>
      </c>
      <c r="L700">
        <v>153</v>
      </c>
      <c r="M700">
        <v>1069.4250399919681</v>
      </c>
      <c r="N700">
        <v>1</v>
      </c>
      <c r="O700">
        <v>153</v>
      </c>
    </row>
    <row r="701" spans="1:15" x14ac:dyDescent="0.25">
      <c r="A701">
        <v>190</v>
      </c>
      <c r="B701" t="s">
        <v>7</v>
      </c>
      <c r="C701" s="1">
        <v>33214</v>
      </c>
      <c r="D701" s="1" t="s">
        <v>51</v>
      </c>
      <c r="E701">
        <v>43.868270000000003</v>
      </c>
      <c r="F701">
        <v>10.252879999999999</v>
      </c>
      <c r="G701" s="1">
        <v>33220</v>
      </c>
      <c r="H701" s="1" t="s">
        <v>39</v>
      </c>
      <c r="I701">
        <v>43.894159999999999</v>
      </c>
      <c r="J701">
        <v>10.22714</v>
      </c>
      <c r="K701">
        <v>3</v>
      </c>
      <c r="L701">
        <v>210.7</v>
      </c>
      <c r="M701">
        <v>4642.2768781469513</v>
      </c>
      <c r="N701">
        <v>4</v>
      </c>
      <c r="O701">
        <v>210.7</v>
      </c>
    </row>
    <row r="702" spans="1:15" x14ac:dyDescent="0.25">
      <c r="A702">
        <v>190</v>
      </c>
      <c r="B702" t="s">
        <v>7</v>
      </c>
      <c r="C702" s="1">
        <v>33218</v>
      </c>
      <c r="D702" s="1" t="s">
        <v>52</v>
      </c>
      <c r="E702">
        <v>44.033050000000003</v>
      </c>
      <c r="F702">
        <v>10.50367</v>
      </c>
      <c r="G702" s="1">
        <v>33219</v>
      </c>
      <c r="H702" s="1" t="s">
        <v>47</v>
      </c>
      <c r="I702">
        <v>44.110500000000002</v>
      </c>
      <c r="J702">
        <v>10.41159</v>
      </c>
      <c r="K702">
        <v>24</v>
      </c>
      <c r="L702">
        <v>358.5</v>
      </c>
      <c r="M702">
        <v>4131.8694726962403</v>
      </c>
      <c r="N702">
        <v>1</v>
      </c>
      <c r="O702">
        <v>358.5</v>
      </c>
    </row>
    <row r="703" spans="1:15" x14ac:dyDescent="0.25">
      <c r="A703">
        <v>190</v>
      </c>
      <c r="B703" t="s">
        <v>7</v>
      </c>
      <c r="C703" s="1">
        <v>33220</v>
      </c>
      <c r="D703" s="1" t="s">
        <v>39</v>
      </c>
      <c r="E703">
        <v>43.894159999999999</v>
      </c>
      <c r="F703">
        <v>10.22714</v>
      </c>
      <c r="G703" s="1">
        <v>33221</v>
      </c>
      <c r="H703" s="1" t="s">
        <v>40</v>
      </c>
      <c r="I703">
        <v>43.956339999999997</v>
      </c>
      <c r="J703">
        <v>10.22996</v>
      </c>
      <c r="K703">
        <v>5</v>
      </c>
      <c r="L703">
        <v>168.3</v>
      </c>
      <c r="M703">
        <v>10164.398902832751</v>
      </c>
      <c r="N703">
        <v>4</v>
      </c>
      <c r="O703">
        <v>168.3</v>
      </c>
    </row>
    <row r="704" spans="1:15" x14ac:dyDescent="0.25">
      <c r="A704">
        <v>190</v>
      </c>
      <c r="B704" t="s">
        <v>7</v>
      </c>
      <c r="C704" s="1">
        <v>4144</v>
      </c>
      <c r="D704" s="1" t="s">
        <v>38</v>
      </c>
      <c r="E704">
        <v>43.568049999999999</v>
      </c>
      <c r="F704">
        <v>11.529260000000001</v>
      </c>
      <c r="G704" s="1">
        <v>25421</v>
      </c>
      <c r="H704" s="1" t="s">
        <v>41</v>
      </c>
      <c r="I704">
        <v>43.619419999999998</v>
      </c>
      <c r="J704">
        <v>11.47508</v>
      </c>
      <c r="K704">
        <v>2</v>
      </c>
      <c r="L704">
        <v>82.6</v>
      </c>
      <c r="M704">
        <v>6691.1980343133819</v>
      </c>
      <c r="N704">
        <v>1</v>
      </c>
      <c r="O704">
        <v>82.6</v>
      </c>
    </row>
    <row r="705" spans="1:15" x14ac:dyDescent="0.25">
      <c r="A705">
        <v>190</v>
      </c>
      <c r="B705" t="s">
        <v>7</v>
      </c>
      <c r="C705" s="1">
        <v>4144</v>
      </c>
      <c r="D705" s="1" t="s">
        <v>38</v>
      </c>
      <c r="E705">
        <v>43.568049999999999</v>
      </c>
      <c r="F705">
        <v>11.529260000000001</v>
      </c>
      <c r="G705" s="1">
        <v>4142</v>
      </c>
      <c r="H705" s="1" t="s">
        <v>42</v>
      </c>
      <c r="I705">
        <v>43.529310000000002</v>
      </c>
      <c r="J705">
        <v>11.56737</v>
      </c>
      <c r="K705">
        <v>6</v>
      </c>
      <c r="L705">
        <v>244.6</v>
      </c>
      <c r="M705">
        <v>1458.30687271632</v>
      </c>
      <c r="N705">
        <v>1</v>
      </c>
      <c r="O705">
        <v>244.6</v>
      </c>
    </row>
    <row r="706" spans="1:15" x14ac:dyDescent="0.25">
      <c r="A706">
        <v>190</v>
      </c>
      <c r="B706" t="s">
        <v>7</v>
      </c>
      <c r="C706" s="1">
        <v>46445</v>
      </c>
      <c r="D706" s="1" t="s">
        <v>35</v>
      </c>
      <c r="E706">
        <v>43.10801</v>
      </c>
      <c r="F706">
        <v>12.377940000000001</v>
      </c>
      <c r="G706" s="1">
        <v>46468</v>
      </c>
      <c r="H706" s="1" t="s">
        <v>33</v>
      </c>
      <c r="I706">
        <v>43.116489999999999</v>
      </c>
      <c r="J706">
        <v>12.45126</v>
      </c>
      <c r="K706">
        <v>7</v>
      </c>
      <c r="L706">
        <v>369.4</v>
      </c>
      <c r="M706">
        <v>9381.7742144749918</v>
      </c>
      <c r="N706">
        <v>3</v>
      </c>
      <c r="O706">
        <v>369.4</v>
      </c>
    </row>
    <row r="707" spans="1:15" x14ac:dyDescent="0.25">
      <c r="A707">
        <v>190</v>
      </c>
      <c r="B707" t="s">
        <v>7</v>
      </c>
      <c r="C707" s="1">
        <v>46445</v>
      </c>
      <c r="D707" s="1" t="s">
        <v>35</v>
      </c>
      <c r="E707">
        <v>43.10801</v>
      </c>
      <c r="F707">
        <v>12.377940000000001</v>
      </c>
      <c r="G707" s="1">
        <v>46471</v>
      </c>
      <c r="H707" s="1" t="s">
        <v>34</v>
      </c>
      <c r="I707">
        <v>43.10031</v>
      </c>
      <c r="J707">
        <v>12.318519999999999</v>
      </c>
      <c r="K707">
        <v>11</v>
      </c>
      <c r="L707">
        <v>377</v>
      </c>
      <c r="M707">
        <v>5420.0405435956563</v>
      </c>
      <c r="N707">
        <v>3</v>
      </c>
      <c r="O707">
        <v>377</v>
      </c>
    </row>
    <row r="708" spans="1:15" x14ac:dyDescent="0.25">
      <c r="A708">
        <v>190</v>
      </c>
      <c r="B708" t="s">
        <v>7</v>
      </c>
      <c r="C708" s="1">
        <v>46471</v>
      </c>
      <c r="D708" s="1" t="s">
        <v>34</v>
      </c>
      <c r="E708">
        <v>43.10031</v>
      </c>
      <c r="F708">
        <v>12.318519999999999</v>
      </c>
      <c r="G708" s="1">
        <v>46445</v>
      </c>
      <c r="H708" s="1" t="s">
        <v>35</v>
      </c>
      <c r="I708">
        <v>43.10801</v>
      </c>
      <c r="J708">
        <v>12.377940000000001</v>
      </c>
      <c r="K708">
        <v>11</v>
      </c>
      <c r="L708">
        <v>678.88</v>
      </c>
      <c r="M708">
        <v>1701.35801816904</v>
      </c>
      <c r="N708">
        <v>1</v>
      </c>
      <c r="O708">
        <v>678.88</v>
      </c>
    </row>
    <row r="709" spans="1:15" x14ac:dyDescent="0.25">
      <c r="A709">
        <v>190</v>
      </c>
      <c r="B709" t="s">
        <v>7</v>
      </c>
      <c r="C709" s="1">
        <v>59131</v>
      </c>
      <c r="D709" s="1" t="s">
        <v>45</v>
      </c>
      <c r="E709">
        <v>43.331879999999998</v>
      </c>
      <c r="F709">
        <v>11.32122</v>
      </c>
      <c r="G709" s="1">
        <v>59157</v>
      </c>
      <c r="H709" s="1" t="s">
        <v>45</v>
      </c>
      <c r="I709">
        <v>43.29034</v>
      </c>
      <c r="J709">
        <v>11.33822</v>
      </c>
      <c r="K709">
        <v>20</v>
      </c>
      <c r="L709">
        <v>1303.42</v>
      </c>
      <c r="M709">
        <v>4.8610229090543999</v>
      </c>
      <c r="N709">
        <v>2</v>
      </c>
      <c r="O709">
        <v>1303.42</v>
      </c>
    </row>
    <row r="710" spans="1:15" x14ac:dyDescent="0.25">
      <c r="A710">
        <v>190</v>
      </c>
      <c r="B710" t="s">
        <v>7</v>
      </c>
      <c r="C710" s="1">
        <v>59157</v>
      </c>
      <c r="D710" s="1" t="s">
        <v>45</v>
      </c>
      <c r="E710">
        <v>43.29034</v>
      </c>
      <c r="F710">
        <v>11.33822</v>
      </c>
      <c r="G710" s="1">
        <v>59131</v>
      </c>
      <c r="H710" s="1" t="s">
        <v>45</v>
      </c>
      <c r="I710">
        <v>43.331879999999998</v>
      </c>
      <c r="J710">
        <v>11.32122</v>
      </c>
      <c r="K710">
        <v>10</v>
      </c>
      <c r="L710">
        <v>408.4</v>
      </c>
      <c r="M710">
        <v>2187.4603090744799</v>
      </c>
      <c r="N710">
        <v>1</v>
      </c>
      <c r="O710">
        <v>408.4</v>
      </c>
    </row>
    <row r="711" spans="1:15" x14ac:dyDescent="0.25">
      <c r="A711">
        <v>190</v>
      </c>
      <c r="B711" t="s">
        <v>7</v>
      </c>
      <c r="C711" s="1">
        <v>77343</v>
      </c>
      <c r="D711" s="1" t="s">
        <v>43</v>
      </c>
      <c r="E711">
        <v>42.812559999999998</v>
      </c>
      <c r="F711">
        <v>10.31758</v>
      </c>
      <c r="G711" s="1">
        <v>32095</v>
      </c>
      <c r="H711" s="1" t="s">
        <v>43</v>
      </c>
      <c r="I711">
        <v>42.810519999999997</v>
      </c>
      <c r="J711">
        <v>10.30799</v>
      </c>
      <c r="K711">
        <v>3</v>
      </c>
      <c r="L711">
        <v>273.7</v>
      </c>
      <c r="M711">
        <v>291.661374543264</v>
      </c>
      <c r="N711">
        <v>1</v>
      </c>
      <c r="O711">
        <v>273.7</v>
      </c>
    </row>
    <row r="712" spans="1:15" x14ac:dyDescent="0.25">
      <c r="A712">
        <v>190</v>
      </c>
      <c r="B712" t="s">
        <v>7</v>
      </c>
      <c r="C712" s="1">
        <v>85210</v>
      </c>
      <c r="D712" s="1" t="s">
        <v>49</v>
      </c>
      <c r="E712">
        <v>43.928640000000001</v>
      </c>
      <c r="F712">
        <v>10.9284</v>
      </c>
      <c r="G712" s="1">
        <v>77334</v>
      </c>
      <c r="H712" s="1" t="s">
        <v>49</v>
      </c>
      <c r="I712">
        <v>43.939680000000003</v>
      </c>
      <c r="J712">
        <v>10.943490000000001</v>
      </c>
      <c r="K712">
        <v>1</v>
      </c>
      <c r="L712">
        <v>37</v>
      </c>
      <c r="M712">
        <v>850.67900908451998</v>
      </c>
      <c r="N712">
        <v>1</v>
      </c>
      <c r="O712">
        <v>37</v>
      </c>
    </row>
    <row r="713" spans="1:15" x14ac:dyDescent="0.25">
      <c r="A713">
        <v>190</v>
      </c>
      <c r="B713" t="s">
        <v>7</v>
      </c>
      <c r="C713" s="1">
        <v>92197</v>
      </c>
      <c r="D713" s="1" t="s">
        <v>53</v>
      </c>
      <c r="E713">
        <v>42.570590000000003</v>
      </c>
      <c r="F713">
        <v>12.632300000000001</v>
      </c>
      <c r="G713" s="1">
        <v>92198</v>
      </c>
      <c r="H713" s="1" t="s">
        <v>48</v>
      </c>
      <c r="I713">
        <v>42.529159999999997</v>
      </c>
      <c r="J713">
        <v>12.51361</v>
      </c>
      <c r="K713">
        <v>25</v>
      </c>
      <c r="L713">
        <v>475</v>
      </c>
      <c r="M713">
        <v>7218.6190199457833</v>
      </c>
      <c r="N713">
        <v>2</v>
      </c>
      <c r="O713">
        <v>475</v>
      </c>
    </row>
    <row r="714" spans="1:15" x14ac:dyDescent="0.25">
      <c r="A714">
        <v>190</v>
      </c>
      <c r="B714" t="s">
        <v>8</v>
      </c>
      <c r="C714" s="1">
        <v>25290</v>
      </c>
      <c r="D714" s="1" t="s">
        <v>32</v>
      </c>
      <c r="E714">
        <v>43.81803</v>
      </c>
      <c r="F714">
        <v>11.211550000000001</v>
      </c>
      <c r="G714" s="1">
        <v>25239</v>
      </c>
      <c r="H714" s="1" t="s">
        <v>31</v>
      </c>
      <c r="I714">
        <v>43.77281</v>
      </c>
      <c r="J714">
        <v>11.29452</v>
      </c>
      <c r="K714">
        <v>130</v>
      </c>
      <c r="L714">
        <v>4987.1000000000004</v>
      </c>
      <c r="M714">
        <v>18228.835908953999</v>
      </c>
      <c r="N714">
        <v>5</v>
      </c>
      <c r="O714">
        <v>4987.1000000000004</v>
      </c>
    </row>
    <row r="715" spans="1:15" x14ac:dyDescent="0.25">
      <c r="A715">
        <v>190</v>
      </c>
      <c r="B715" t="s">
        <v>8</v>
      </c>
      <c r="C715" s="1">
        <v>25290</v>
      </c>
      <c r="D715" s="1" t="s">
        <v>32</v>
      </c>
      <c r="E715">
        <v>43.81803</v>
      </c>
      <c r="F715">
        <v>11.211550000000001</v>
      </c>
      <c r="G715" s="1">
        <v>25398</v>
      </c>
      <c r="H715" s="1" t="s">
        <v>31</v>
      </c>
      <c r="I715">
        <v>43.769460000000002</v>
      </c>
      <c r="J715">
        <v>11.19172</v>
      </c>
      <c r="K715">
        <v>35</v>
      </c>
      <c r="L715">
        <v>2019.72</v>
      </c>
      <c r="M715">
        <v>11182.78320227965</v>
      </c>
      <c r="N715">
        <v>4</v>
      </c>
      <c r="O715">
        <v>2019.72</v>
      </c>
    </row>
    <row r="716" spans="1:15" x14ac:dyDescent="0.25">
      <c r="A716">
        <v>190</v>
      </c>
      <c r="B716" t="s">
        <v>8</v>
      </c>
      <c r="C716" s="1">
        <v>25290</v>
      </c>
      <c r="D716" s="1" t="s">
        <v>32</v>
      </c>
      <c r="E716">
        <v>43.81803</v>
      </c>
      <c r="F716">
        <v>11.211550000000001</v>
      </c>
      <c r="G716" s="1">
        <v>25400</v>
      </c>
      <c r="H716" s="1" t="s">
        <v>31</v>
      </c>
      <c r="I716">
        <v>43.798690000000001</v>
      </c>
      <c r="J716">
        <v>11.20762</v>
      </c>
      <c r="K716">
        <v>73</v>
      </c>
      <c r="L716">
        <v>6189.96</v>
      </c>
      <c r="M716">
        <v>10086.622536287879</v>
      </c>
      <c r="N716">
        <v>7</v>
      </c>
      <c r="O716">
        <v>6189.96</v>
      </c>
    </row>
    <row r="717" spans="1:15" x14ac:dyDescent="0.25">
      <c r="A717">
        <v>190</v>
      </c>
      <c r="B717" t="s">
        <v>8</v>
      </c>
      <c r="C717" s="1">
        <v>25290</v>
      </c>
      <c r="D717" s="1" t="s">
        <v>32</v>
      </c>
      <c r="E717">
        <v>43.81803</v>
      </c>
      <c r="F717">
        <v>11.211550000000001</v>
      </c>
      <c r="G717" s="1">
        <v>25401</v>
      </c>
      <c r="H717" s="1" t="s">
        <v>36</v>
      </c>
      <c r="I717">
        <v>43.87838</v>
      </c>
      <c r="J717">
        <v>11.103210000000001</v>
      </c>
      <c r="K717">
        <v>155</v>
      </c>
      <c r="L717">
        <v>2791.3</v>
      </c>
      <c r="M717">
        <v>18690.63308531417</v>
      </c>
      <c r="N717">
        <v>5</v>
      </c>
      <c r="O717">
        <v>2791.3</v>
      </c>
    </row>
    <row r="718" spans="1:15" x14ac:dyDescent="0.25">
      <c r="A718">
        <v>190</v>
      </c>
      <c r="B718" t="s">
        <v>8</v>
      </c>
      <c r="C718" s="1">
        <v>25290</v>
      </c>
      <c r="D718" s="1" t="s">
        <v>32</v>
      </c>
      <c r="E718">
        <v>43.81803</v>
      </c>
      <c r="F718">
        <v>11.211550000000001</v>
      </c>
      <c r="G718" s="1">
        <v>25417</v>
      </c>
      <c r="H718" s="1" t="s">
        <v>37</v>
      </c>
      <c r="I718">
        <v>43.754040000000003</v>
      </c>
      <c r="J718">
        <v>11.32128</v>
      </c>
      <c r="K718">
        <v>64</v>
      </c>
      <c r="L718">
        <v>973.3</v>
      </c>
      <c r="M718">
        <v>14194.18689443885</v>
      </c>
      <c r="N718">
        <v>2</v>
      </c>
      <c r="O718">
        <v>973.3</v>
      </c>
    </row>
    <row r="719" spans="1:15" x14ac:dyDescent="0.25">
      <c r="A719">
        <v>190</v>
      </c>
      <c r="B719" t="s">
        <v>8</v>
      </c>
      <c r="C719" s="1">
        <v>25398</v>
      </c>
      <c r="D719" s="1" t="s">
        <v>31</v>
      </c>
      <c r="E719">
        <v>43.769460000000002</v>
      </c>
      <c r="F719">
        <v>11.19172</v>
      </c>
      <c r="G719" s="1">
        <v>25239</v>
      </c>
      <c r="H719" s="1" t="s">
        <v>31</v>
      </c>
      <c r="I719">
        <v>43.77281</v>
      </c>
      <c r="J719">
        <v>11.29452</v>
      </c>
      <c r="K719">
        <v>34</v>
      </c>
      <c r="L719">
        <v>134</v>
      </c>
      <c r="M719">
        <v>2916.6137454326399</v>
      </c>
      <c r="N719">
        <v>1</v>
      </c>
      <c r="O719">
        <v>134</v>
      </c>
    </row>
    <row r="720" spans="1:15" x14ac:dyDescent="0.25">
      <c r="A720">
        <v>190</v>
      </c>
      <c r="B720" t="s">
        <v>8</v>
      </c>
      <c r="C720" s="1">
        <v>25398</v>
      </c>
      <c r="D720" s="1" t="s">
        <v>31</v>
      </c>
      <c r="E720">
        <v>43.769460000000002</v>
      </c>
      <c r="F720">
        <v>11.19172</v>
      </c>
      <c r="G720" s="1">
        <v>25290</v>
      </c>
      <c r="H720" s="1" t="s">
        <v>32</v>
      </c>
      <c r="I720">
        <v>43.81803</v>
      </c>
      <c r="J720">
        <v>11.211550000000001</v>
      </c>
      <c r="K720">
        <v>44</v>
      </c>
      <c r="L720">
        <v>38</v>
      </c>
      <c r="M720">
        <v>4377.3511296034876</v>
      </c>
      <c r="N720">
        <v>1</v>
      </c>
      <c r="O720">
        <v>38</v>
      </c>
    </row>
    <row r="721" spans="1:15" x14ac:dyDescent="0.25">
      <c r="A721">
        <v>190</v>
      </c>
      <c r="B721" t="s">
        <v>8</v>
      </c>
      <c r="C721" s="1">
        <v>25400</v>
      </c>
      <c r="D721" s="1" t="s">
        <v>31</v>
      </c>
      <c r="E721">
        <v>43.798690000000001</v>
      </c>
      <c r="F721">
        <v>11.20762</v>
      </c>
      <c r="G721" s="1">
        <v>25290</v>
      </c>
      <c r="H721" s="1" t="s">
        <v>32</v>
      </c>
      <c r="I721">
        <v>43.81803</v>
      </c>
      <c r="J721">
        <v>11.211550000000001</v>
      </c>
      <c r="K721">
        <v>30</v>
      </c>
      <c r="L721">
        <v>159.91999999999999</v>
      </c>
      <c r="M721">
        <v>2673.5625999799199</v>
      </c>
      <c r="N721">
        <v>2</v>
      </c>
      <c r="O721">
        <v>159.91999999999999</v>
      </c>
    </row>
    <row r="722" spans="1:15" x14ac:dyDescent="0.25">
      <c r="A722">
        <v>190</v>
      </c>
      <c r="B722" t="s">
        <v>8</v>
      </c>
      <c r="C722" s="1">
        <v>25400</v>
      </c>
      <c r="D722" s="1" t="s">
        <v>31</v>
      </c>
      <c r="E722">
        <v>43.798690000000001</v>
      </c>
      <c r="F722">
        <v>11.20762</v>
      </c>
      <c r="G722" s="1">
        <v>25398</v>
      </c>
      <c r="H722" s="1" t="s">
        <v>31</v>
      </c>
      <c r="I722">
        <v>43.769460000000002</v>
      </c>
      <c r="J722">
        <v>11.19172</v>
      </c>
      <c r="K722">
        <v>43</v>
      </c>
      <c r="L722">
        <v>961.4</v>
      </c>
      <c r="M722">
        <v>2989.529089068456</v>
      </c>
      <c r="N722">
        <v>2</v>
      </c>
      <c r="O722">
        <v>961.4</v>
      </c>
    </row>
    <row r="723" spans="1:15" x14ac:dyDescent="0.25">
      <c r="A723">
        <v>190</v>
      </c>
      <c r="B723" t="s">
        <v>8</v>
      </c>
      <c r="C723" s="1">
        <v>25401</v>
      </c>
      <c r="D723" s="1" t="s">
        <v>36</v>
      </c>
      <c r="E723">
        <v>43.87838</v>
      </c>
      <c r="F723">
        <v>11.103210000000001</v>
      </c>
      <c r="G723" s="1">
        <v>25290</v>
      </c>
      <c r="H723" s="1" t="s">
        <v>32</v>
      </c>
      <c r="I723">
        <v>43.81803</v>
      </c>
      <c r="J723">
        <v>11.211550000000001</v>
      </c>
      <c r="K723">
        <v>18</v>
      </c>
      <c r="L723">
        <v>58.8</v>
      </c>
      <c r="M723">
        <v>3767.2927545171601</v>
      </c>
      <c r="N723">
        <v>1</v>
      </c>
      <c r="O723">
        <v>58.8</v>
      </c>
    </row>
    <row r="724" spans="1:15" x14ac:dyDescent="0.25">
      <c r="A724">
        <v>190</v>
      </c>
      <c r="B724" t="s">
        <v>8</v>
      </c>
      <c r="C724" s="1">
        <v>25401</v>
      </c>
      <c r="D724" s="1" t="s">
        <v>36</v>
      </c>
      <c r="E724">
        <v>43.87838</v>
      </c>
      <c r="F724">
        <v>11.103210000000001</v>
      </c>
      <c r="G724" s="1">
        <v>25433</v>
      </c>
      <c r="H724" s="1" t="s">
        <v>44</v>
      </c>
      <c r="I724">
        <v>43.923850000000002</v>
      </c>
      <c r="J724">
        <v>11.03511</v>
      </c>
      <c r="K724">
        <v>18</v>
      </c>
      <c r="L724">
        <v>792</v>
      </c>
      <c r="M724">
        <v>2916.6137454326399</v>
      </c>
      <c r="N724">
        <v>1</v>
      </c>
      <c r="O724">
        <v>792</v>
      </c>
    </row>
    <row r="725" spans="1:15" x14ac:dyDescent="0.25">
      <c r="A725">
        <v>190</v>
      </c>
      <c r="B725" t="s">
        <v>8</v>
      </c>
      <c r="C725" s="1">
        <v>25421</v>
      </c>
      <c r="D725" s="1" t="s">
        <v>41</v>
      </c>
      <c r="E725">
        <v>43.619419999999998</v>
      </c>
      <c r="F725">
        <v>11.47508</v>
      </c>
      <c r="G725" s="1">
        <v>4142</v>
      </c>
      <c r="H725" s="1" t="s">
        <v>42</v>
      </c>
      <c r="I725">
        <v>43.529310000000002</v>
      </c>
      <c r="J725">
        <v>11.56737</v>
      </c>
      <c r="K725">
        <v>14</v>
      </c>
      <c r="L725">
        <v>86.4</v>
      </c>
      <c r="M725">
        <v>3645.7671817907999</v>
      </c>
      <c r="N725">
        <v>1</v>
      </c>
      <c r="O725">
        <v>86.4</v>
      </c>
    </row>
    <row r="726" spans="1:15" x14ac:dyDescent="0.25">
      <c r="A726">
        <v>190</v>
      </c>
      <c r="B726" t="s">
        <v>8</v>
      </c>
      <c r="C726" s="1">
        <v>25421</v>
      </c>
      <c r="D726" s="1" t="s">
        <v>41</v>
      </c>
      <c r="E726">
        <v>43.619419999999998</v>
      </c>
      <c r="F726">
        <v>11.47508</v>
      </c>
      <c r="G726" s="1">
        <v>4144</v>
      </c>
      <c r="H726" s="1" t="s">
        <v>38</v>
      </c>
      <c r="I726">
        <v>43.568049999999999</v>
      </c>
      <c r="J726">
        <v>11.529260000000001</v>
      </c>
      <c r="K726">
        <v>5</v>
      </c>
      <c r="L726">
        <v>194.4</v>
      </c>
      <c r="M726">
        <v>2187.4603090744799</v>
      </c>
      <c r="N726">
        <v>1</v>
      </c>
      <c r="O726">
        <v>194.4</v>
      </c>
    </row>
    <row r="727" spans="1:15" x14ac:dyDescent="0.25">
      <c r="A727">
        <v>190</v>
      </c>
      <c r="B727" t="s">
        <v>8</v>
      </c>
      <c r="C727" s="1">
        <v>32094</v>
      </c>
      <c r="D727" s="1" t="s">
        <v>54</v>
      </c>
      <c r="E727">
        <v>43.304879999999997</v>
      </c>
      <c r="F727">
        <v>10.5182</v>
      </c>
      <c r="G727" s="1">
        <v>32098</v>
      </c>
      <c r="H727" s="1" t="s">
        <v>50</v>
      </c>
      <c r="I727">
        <v>43.393940000000001</v>
      </c>
      <c r="J727">
        <v>10.43547</v>
      </c>
      <c r="K727">
        <v>7</v>
      </c>
      <c r="L727">
        <v>70.8</v>
      </c>
      <c r="M727">
        <v>2189.8908205290072</v>
      </c>
      <c r="N727">
        <v>1</v>
      </c>
      <c r="O727">
        <v>70.8</v>
      </c>
    </row>
    <row r="728" spans="1:15" x14ac:dyDescent="0.25">
      <c r="A728">
        <v>190</v>
      </c>
      <c r="B728" t="s">
        <v>8</v>
      </c>
      <c r="C728" s="1">
        <v>33212</v>
      </c>
      <c r="D728" s="1" t="s">
        <v>46</v>
      </c>
      <c r="E728">
        <v>43.844110000000001</v>
      </c>
      <c r="F728">
        <v>10.525460000000001</v>
      </c>
      <c r="G728" s="1">
        <v>77150</v>
      </c>
      <c r="H728" s="1" t="s">
        <v>46</v>
      </c>
      <c r="I728">
        <v>43.860230000000001</v>
      </c>
      <c r="J728">
        <v>10.51596</v>
      </c>
      <c r="K728">
        <v>2</v>
      </c>
      <c r="L728">
        <v>153</v>
      </c>
      <c r="M728">
        <v>1069.4250399919681</v>
      </c>
      <c r="N728">
        <v>1</v>
      </c>
      <c r="O728">
        <v>153</v>
      </c>
    </row>
    <row r="729" spans="1:15" x14ac:dyDescent="0.25">
      <c r="A729">
        <v>190</v>
      </c>
      <c r="B729" t="s">
        <v>8</v>
      </c>
      <c r="C729" s="1">
        <v>33214</v>
      </c>
      <c r="D729" s="1" t="s">
        <v>51</v>
      </c>
      <c r="E729">
        <v>43.868270000000003</v>
      </c>
      <c r="F729">
        <v>10.252879999999999</v>
      </c>
      <c r="G729" s="1">
        <v>33220</v>
      </c>
      <c r="H729" s="1" t="s">
        <v>39</v>
      </c>
      <c r="I729">
        <v>43.894159999999999</v>
      </c>
      <c r="J729">
        <v>10.22714</v>
      </c>
      <c r="K729">
        <v>4</v>
      </c>
      <c r="L729">
        <v>210.7</v>
      </c>
      <c r="M729">
        <v>4642.2768781469513</v>
      </c>
      <c r="N729">
        <v>4</v>
      </c>
      <c r="O729">
        <v>210.7</v>
      </c>
    </row>
    <row r="730" spans="1:15" x14ac:dyDescent="0.25">
      <c r="A730">
        <v>190</v>
      </c>
      <c r="B730" t="s">
        <v>8</v>
      </c>
      <c r="C730" s="1">
        <v>33218</v>
      </c>
      <c r="D730" s="1" t="s">
        <v>52</v>
      </c>
      <c r="E730">
        <v>44.033050000000003</v>
      </c>
      <c r="F730">
        <v>10.50367</v>
      </c>
      <c r="G730" s="1">
        <v>33219</v>
      </c>
      <c r="H730" s="1" t="s">
        <v>47</v>
      </c>
      <c r="I730">
        <v>44.110500000000002</v>
      </c>
      <c r="J730">
        <v>10.41159</v>
      </c>
      <c r="K730">
        <v>24</v>
      </c>
      <c r="L730">
        <v>358.5</v>
      </c>
      <c r="M730">
        <v>4131.8694726962403</v>
      </c>
      <c r="N730">
        <v>1</v>
      </c>
      <c r="O730">
        <v>358.5</v>
      </c>
    </row>
    <row r="731" spans="1:15" x14ac:dyDescent="0.25">
      <c r="A731">
        <v>190</v>
      </c>
      <c r="B731" t="s">
        <v>8</v>
      </c>
      <c r="C731" s="1">
        <v>33220</v>
      </c>
      <c r="D731" s="1" t="s">
        <v>39</v>
      </c>
      <c r="E731">
        <v>43.894159999999999</v>
      </c>
      <c r="F731">
        <v>10.22714</v>
      </c>
      <c r="G731" s="1">
        <v>33221</v>
      </c>
      <c r="H731" s="1" t="s">
        <v>40</v>
      </c>
      <c r="I731">
        <v>43.956339999999997</v>
      </c>
      <c r="J731">
        <v>10.22996</v>
      </c>
      <c r="K731">
        <v>5</v>
      </c>
      <c r="L731">
        <v>168.3</v>
      </c>
      <c r="M731">
        <v>10164.398902832751</v>
      </c>
      <c r="N731">
        <v>4</v>
      </c>
      <c r="O731">
        <v>168.3</v>
      </c>
    </row>
    <row r="732" spans="1:15" x14ac:dyDescent="0.25">
      <c r="A732">
        <v>190</v>
      </c>
      <c r="B732" t="s">
        <v>8</v>
      </c>
      <c r="C732" s="1">
        <v>4144</v>
      </c>
      <c r="D732" s="1" t="s">
        <v>38</v>
      </c>
      <c r="E732">
        <v>43.568049999999999</v>
      </c>
      <c r="F732">
        <v>11.529260000000001</v>
      </c>
      <c r="G732" s="1">
        <v>25421</v>
      </c>
      <c r="H732" s="1" t="s">
        <v>41</v>
      </c>
      <c r="I732">
        <v>43.619419999999998</v>
      </c>
      <c r="J732">
        <v>11.47508</v>
      </c>
      <c r="K732">
        <v>5</v>
      </c>
      <c r="L732">
        <v>82.59999999999998</v>
      </c>
      <c r="M732">
        <v>6691.1980343133819</v>
      </c>
      <c r="N732">
        <v>1</v>
      </c>
      <c r="O732">
        <v>82.6</v>
      </c>
    </row>
    <row r="733" spans="1:15" x14ac:dyDescent="0.25">
      <c r="A733">
        <v>190</v>
      </c>
      <c r="B733" t="s">
        <v>8</v>
      </c>
      <c r="C733" s="1">
        <v>4144</v>
      </c>
      <c r="D733" s="1" t="s">
        <v>38</v>
      </c>
      <c r="E733">
        <v>43.568049999999999</v>
      </c>
      <c r="F733">
        <v>11.529260000000001</v>
      </c>
      <c r="G733" s="1">
        <v>4142</v>
      </c>
      <c r="H733" s="1" t="s">
        <v>42</v>
      </c>
      <c r="I733">
        <v>43.529310000000002</v>
      </c>
      <c r="J733">
        <v>11.56737</v>
      </c>
      <c r="K733">
        <v>4</v>
      </c>
      <c r="L733">
        <v>244.6</v>
      </c>
      <c r="M733">
        <v>1458.30687271632</v>
      </c>
      <c r="N733">
        <v>1</v>
      </c>
      <c r="O733">
        <v>244.6</v>
      </c>
    </row>
    <row r="734" spans="1:15" x14ac:dyDescent="0.25">
      <c r="A734">
        <v>190</v>
      </c>
      <c r="B734" t="s">
        <v>8</v>
      </c>
      <c r="C734" s="1">
        <v>46445</v>
      </c>
      <c r="D734" s="1" t="s">
        <v>35</v>
      </c>
      <c r="E734">
        <v>43.10801</v>
      </c>
      <c r="F734">
        <v>12.377940000000001</v>
      </c>
      <c r="G734" s="1">
        <v>46468</v>
      </c>
      <c r="H734" s="1" t="s">
        <v>33</v>
      </c>
      <c r="I734">
        <v>43.116489999999999</v>
      </c>
      <c r="J734">
        <v>12.45126</v>
      </c>
      <c r="K734">
        <v>7</v>
      </c>
      <c r="L734">
        <v>369.4</v>
      </c>
      <c r="M734">
        <v>9381.7742144749918</v>
      </c>
      <c r="N734">
        <v>3</v>
      </c>
      <c r="O734">
        <v>369.4</v>
      </c>
    </row>
    <row r="735" spans="1:15" x14ac:dyDescent="0.25">
      <c r="A735">
        <v>190</v>
      </c>
      <c r="B735" t="s">
        <v>8</v>
      </c>
      <c r="C735" s="1">
        <v>46445</v>
      </c>
      <c r="D735" s="1" t="s">
        <v>35</v>
      </c>
      <c r="E735">
        <v>43.10801</v>
      </c>
      <c r="F735">
        <v>12.377940000000001</v>
      </c>
      <c r="G735" s="1">
        <v>46471</v>
      </c>
      <c r="H735" s="1" t="s">
        <v>34</v>
      </c>
      <c r="I735">
        <v>43.10031</v>
      </c>
      <c r="J735">
        <v>12.318519999999999</v>
      </c>
      <c r="K735">
        <v>11</v>
      </c>
      <c r="L735">
        <v>377</v>
      </c>
      <c r="M735">
        <v>5420.0405435956563</v>
      </c>
      <c r="N735">
        <v>3</v>
      </c>
      <c r="O735">
        <v>377</v>
      </c>
    </row>
    <row r="736" spans="1:15" x14ac:dyDescent="0.25">
      <c r="A736">
        <v>190</v>
      </c>
      <c r="B736" t="s">
        <v>8</v>
      </c>
      <c r="C736" s="1">
        <v>46471</v>
      </c>
      <c r="D736" s="1" t="s">
        <v>34</v>
      </c>
      <c r="E736">
        <v>43.10031</v>
      </c>
      <c r="F736">
        <v>12.318519999999999</v>
      </c>
      <c r="G736" s="1">
        <v>46445</v>
      </c>
      <c r="H736" s="1" t="s">
        <v>35</v>
      </c>
      <c r="I736">
        <v>43.10801</v>
      </c>
      <c r="J736">
        <v>12.377940000000001</v>
      </c>
      <c r="K736">
        <v>11</v>
      </c>
      <c r="L736">
        <v>678.88</v>
      </c>
      <c r="M736">
        <v>1701.35801816904</v>
      </c>
      <c r="N736">
        <v>1</v>
      </c>
      <c r="O736">
        <v>678.88</v>
      </c>
    </row>
    <row r="737" spans="1:15" x14ac:dyDescent="0.25">
      <c r="A737">
        <v>190</v>
      </c>
      <c r="B737" t="s">
        <v>8</v>
      </c>
      <c r="C737" s="1">
        <v>59131</v>
      </c>
      <c r="D737" s="1" t="s">
        <v>45</v>
      </c>
      <c r="E737">
        <v>43.331879999999998</v>
      </c>
      <c r="F737">
        <v>11.32122</v>
      </c>
      <c r="G737" s="1">
        <v>59157</v>
      </c>
      <c r="H737" s="1" t="s">
        <v>45</v>
      </c>
      <c r="I737">
        <v>43.29034</v>
      </c>
      <c r="J737">
        <v>11.33822</v>
      </c>
      <c r="K737">
        <v>20</v>
      </c>
      <c r="L737">
        <v>1303.42</v>
      </c>
      <c r="M737">
        <v>4.8610229090543999</v>
      </c>
      <c r="N737">
        <v>2</v>
      </c>
      <c r="O737">
        <v>1303.42</v>
      </c>
    </row>
    <row r="738" spans="1:15" x14ac:dyDescent="0.25">
      <c r="A738">
        <v>190</v>
      </c>
      <c r="B738" t="s">
        <v>8</v>
      </c>
      <c r="C738" s="1">
        <v>59157</v>
      </c>
      <c r="D738" s="1" t="s">
        <v>45</v>
      </c>
      <c r="E738">
        <v>43.29034</v>
      </c>
      <c r="F738">
        <v>11.33822</v>
      </c>
      <c r="G738" s="1">
        <v>59131</v>
      </c>
      <c r="H738" s="1" t="s">
        <v>45</v>
      </c>
      <c r="I738">
        <v>43.331879999999998</v>
      </c>
      <c r="J738">
        <v>11.32122</v>
      </c>
      <c r="K738">
        <v>7</v>
      </c>
      <c r="L738">
        <v>408.4</v>
      </c>
      <c r="M738">
        <v>2187.4603090744799</v>
      </c>
      <c r="N738">
        <v>1</v>
      </c>
      <c r="O738">
        <v>408.4</v>
      </c>
    </row>
    <row r="739" spans="1:15" x14ac:dyDescent="0.25">
      <c r="A739">
        <v>190</v>
      </c>
      <c r="B739" t="s">
        <v>8</v>
      </c>
      <c r="C739" s="1">
        <v>77343</v>
      </c>
      <c r="D739" s="1" t="s">
        <v>43</v>
      </c>
      <c r="E739">
        <v>42.812559999999998</v>
      </c>
      <c r="F739">
        <v>10.31758</v>
      </c>
      <c r="G739" s="1">
        <v>32095</v>
      </c>
      <c r="H739" s="1" t="s">
        <v>43</v>
      </c>
      <c r="I739">
        <v>42.810519999999997</v>
      </c>
      <c r="J739">
        <v>10.30799</v>
      </c>
      <c r="K739">
        <v>3</v>
      </c>
      <c r="L739">
        <v>273.7</v>
      </c>
      <c r="M739">
        <v>291.661374543264</v>
      </c>
      <c r="N739">
        <v>1</v>
      </c>
      <c r="O739">
        <v>273.7</v>
      </c>
    </row>
    <row r="740" spans="1:15" x14ac:dyDescent="0.25">
      <c r="A740">
        <v>190</v>
      </c>
      <c r="B740" t="s">
        <v>8</v>
      </c>
      <c r="C740" s="1">
        <v>85210</v>
      </c>
      <c r="D740" s="1" t="s">
        <v>49</v>
      </c>
      <c r="E740">
        <v>43.928640000000001</v>
      </c>
      <c r="F740">
        <v>10.9284</v>
      </c>
      <c r="G740" s="1">
        <v>77334</v>
      </c>
      <c r="H740" s="1" t="s">
        <v>49</v>
      </c>
      <c r="I740">
        <v>43.939680000000003</v>
      </c>
      <c r="J740">
        <v>10.943490000000001</v>
      </c>
      <c r="K740">
        <v>1</v>
      </c>
      <c r="L740">
        <v>37</v>
      </c>
      <c r="M740">
        <v>850.67900908451998</v>
      </c>
      <c r="N740">
        <v>1</v>
      </c>
      <c r="O740">
        <v>37</v>
      </c>
    </row>
    <row r="741" spans="1:15" x14ac:dyDescent="0.25">
      <c r="A741">
        <v>190</v>
      </c>
      <c r="B741" t="s">
        <v>8</v>
      </c>
      <c r="C741" s="1">
        <v>92197</v>
      </c>
      <c r="D741" s="1" t="s">
        <v>53</v>
      </c>
      <c r="E741">
        <v>42.570590000000003</v>
      </c>
      <c r="F741">
        <v>12.632300000000001</v>
      </c>
      <c r="G741" s="1">
        <v>92198</v>
      </c>
      <c r="H741" s="1" t="s">
        <v>48</v>
      </c>
      <c r="I741">
        <v>42.529159999999997</v>
      </c>
      <c r="J741">
        <v>12.51361</v>
      </c>
      <c r="K741">
        <v>25</v>
      </c>
      <c r="L741">
        <v>475</v>
      </c>
      <c r="M741">
        <v>7218.6190199457833</v>
      </c>
      <c r="N741">
        <v>2</v>
      </c>
      <c r="O741">
        <v>475</v>
      </c>
    </row>
    <row r="742" spans="1:15" x14ac:dyDescent="0.25">
      <c r="A742">
        <v>190</v>
      </c>
      <c r="B742" t="s">
        <v>9</v>
      </c>
      <c r="C742" s="1">
        <v>25290</v>
      </c>
      <c r="D742" s="1" t="s">
        <v>32</v>
      </c>
      <c r="E742">
        <v>43.81803</v>
      </c>
      <c r="F742">
        <v>11.211550000000001</v>
      </c>
      <c r="G742" s="1">
        <v>25239</v>
      </c>
      <c r="H742" s="1" t="s">
        <v>31</v>
      </c>
      <c r="I742">
        <v>43.77281</v>
      </c>
      <c r="J742">
        <v>11.29452</v>
      </c>
      <c r="K742">
        <v>130</v>
      </c>
      <c r="L742">
        <v>4987.1000000000004</v>
      </c>
      <c r="M742">
        <v>18228.835908953999</v>
      </c>
      <c r="N742">
        <v>5</v>
      </c>
      <c r="O742">
        <v>4987.1000000000004</v>
      </c>
    </row>
    <row r="743" spans="1:15" x14ac:dyDescent="0.25">
      <c r="A743">
        <v>190</v>
      </c>
      <c r="B743" t="s">
        <v>9</v>
      </c>
      <c r="C743" s="1">
        <v>25290</v>
      </c>
      <c r="D743" s="1" t="s">
        <v>32</v>
      </c>
      <c r="E743">
        <v>43.81803</v>
      </c>
      <c r="F743">
        <v>11.211550000000001</v>
      </c>
      <c r="G743" s="1">
        <v>25398</v>
      </c>
      <c r="H743" s="1" t="s">
        <v>31</v>
      </c>
      <c r="I743">
        <v>43.769460000000002</v>
      </c>
      <c r="J743">
        <v>11.19172</v>
      </c>
      <c r="K743">
        <v>35</v>
      </c>
      <c r="L743">
        <v>2019.72</v>
      </c>
      <c r="M743">
        <v>11182.78320227965</v>
      </c>
      <c r="N743">
        <v>4</v>
      </c>
      <c r="O743">
        <v>2019.72</v>
      </c>
    </row>
    <row r="744" spans="1:15" x14ac:dyDescent="0.25">
      <c r="A744">
        <v>190</v>
      </c>
      <c r="B744" t="s">
        <v>9</v>
      </c>
      <c r="C744" s="1">
        <v>25290</v>
      </c>
      <c r="D744" s="1" t="s">
        <v>32</v>
      </c>
      <c r="E744">
        <v>43.81803</v>
      </c>
      <c r="F744">
        <v>11.211550000000001</v>
      </c>
      <c r="G744" s="1">
        <v>25400</v>
      </c>
      <c r="H744" s="1" t="s">
        <v>31</v>
      </c>
      <c r="I744">
        <v>43.798690000000001</v>
      </c>
      <c r="J744">
        <v>11.20762</v>
      </c>
      <c r="K744">
        <v>73</v>
      </c>
      <c r="L744">
        <v>6189.96</v>
      </c>
      <c r="M744">
        <v>10086.622536287879</v>
      </c>
      <c r="N744">
        <v>7</v>
      </c>
      <c r="O744">
        <v>6189.96</v>
      </c>
    </row>
    <row r="745" spans="1:15" x14ac:dyDescent="0.25">
      <c r="A745">
        <v>190</v>
      </c>
      <c r="B745" t="s">
        <v>9</v>
      </c>
      <c r="C745" s="1">
        <v>25290</v>
      </c>
      <c r="D745" s="1" t="s">
        <v>32</v>
      </c>
      <c r="E745">
        <v>43.81803</v>
      </c>
      <c r="F745">
        <v>11.211550000000001</v>
      </c>
      <c r="G745" s="1">
        <v>25401</v>
      </c>
      <c r="H745" s="1" t="s">
        <v>36</v>
      </c>
      <c r="I745">
        <v>43.87838</v>
      </c>
      <c r="J745">
        <v>11.103210000000001</v>
      </c>
      <c r="K745">
        <v>155</v>
      </c>
      <c r="L745">
        <v>2791.3</v>
      </c>
      <c r="M745">
        <v>18690.63308531417</v>
      </c>
      <c r="N745">
        <v>5</v>
      </c>
      <c r="O745">
        <v>2791.3</v>
      </c>
    </row>
    <row r="746" spans="1:15" x14ac:dyDescent="0.25">
      <c r="A746">
        <v>190</v>
      </c>
      <c r="B746" t="s">
        <v>9</v>
      </c>
      <c r="C746" s="1">
        <v>25290</v>
      </c>
      <c r="D746" s="1" t="s">
        <v>32</v>
      </c>
      <c r="E746">
        <v>43.81803</v>
      </c>
      <c r="F746">
        <v>11.211550000000001</v>
      </c>
      <c r="G746" s="1">
        <v>25417</v>
      </c>
      <c r="H746" s="1" t="s">
        <v>37</v>
      </c>
      <c r="I746">
        <v>43.754040000000003</v>
      </c>
      <c r="J746">
        <v>11.32128</v>
      </c>
      <c r="K746">
        <v>64</v>
      </c>
      <c r="L746">
        <v>973.3</v>
      </c>
      <c r="M746">
        <v>14194.18689443885</v>
      </c>
      <c r="N746">
        <v>2</v>
      </c>
      <c r="O746">
        <v>973.3</v>
      </c>
    </row>
    <row r="747" spans="1:15" x14ac:dyDescent="0.25">
      <c r="A747">
        <v>190</v>
      </c>
      <c r="B747" t="s">
        <v>9</v>
      </c>
      <c r="C747" s="1">
        <v>25398</v>
      </c>
      <c r="D747" s="1" t="s">
        <v>31</v>
      </c>
      <c r="E747">
        <v>43.769460000000002</v>
      </c>
      <c r="F747">
        <v>11.19172</v>
      </c>
      <c r="G747" s="1">
        <v>25239</v>
      </c>
      <c r="H747" s="1" t="s">
        <v>31</v>
      </c>
      <c r="I747">
        <v>43.77281</v>
      </c>
      <c r="J747">
        <v>11.29452</v>
      </c>
      <c r="K747">
        <v>34</v>
      </c>
      <c r="L747">
        <v>134</v>
      </c>
      <c r="M747">
        <v>2916.6137454326399</v>
      </c>
      <c r="N747">
        <v>1</v>
      </c>
      <c r="O747">
        <v>134</v>
      </c>
    </row>
    <row r="748" spans="1:15" x14ac:dyDescent="0.25">
      <c r="A748">
        <v>190</v>
      </c>
      <c r="B748" t="s">
        <v>9</v>
      </c>
      <c r="C748" s="1">
        <v>25398</v>
      </c>
      <c r="D748" s="1" t="s">
        <v>31</v>
      </c>
      <c r="E748">
        <v>43.769460000000002</v>
      </c>
      <c r="F748">
        <v>11.19172</v>
      </c>
      <c r="G748" s="1">
        <v>25290</v>
      </c>
      <c r="H748" s="1" t="s">
        <v>32</v>
      </c>
      <c r="I748">
        <v>43.81803</v>
      </c>
      <c r="J748">
        <v>11.211550000000001</v>
      </c>
      <c r="K748">
        <v>44</v>
      </c>
      <c r="L748">
        <v>38</v>
      </c>
      <c r="M748">
        <v>4377.3511296034876</v>
      </c>
      <c r="N748">
        <v>1</v>
      </c>
      <c r="O748">
        <v>38</v>
      </c>
    </row>
    <row r="749" spans="1:15" x14ac:dyDescent="0.25">
      <c r="A749">
        <v>190</v>
      </c>
      <c r="B749" t="s">
        <v>9</v>
      </c>
      <c r="C749" s="1">
        <v>25400</v>
      </c>
      <c r="D749" s="1" t="s">
        <v>31</v>
      </c>
      <c r="E749">
        <v>43.798690000000001</v>
      </c>
      <c r="F749">
        <v>11.20762</v>
      </c>
      <c r="G749" s="1">
        <v>25290</v>
      </c>
      <c r="H749" s="1" t="s">
        <v>32</v>
      </c>
      <c r="I749">
        <v>43.81803</v>
      </c>
      <c r="J749">
        <v>11.211550000000001</v>
      </c>
      <c r="K749">
        <v>30</v>
      </c>
      <c r="L749">
        <v>159.91999999999999</v>
      </c>
      <c r="M749">
        <v>2673.5625999799199</v>
      </c>
      <c r="N749">
        <v>2</v>
      </c>
      <c r="O749">
        <v>159.91999999999999</v>
      </c>
    </row>
    <row r="750" spans="1:15" x14ac:dyDescent="0.25">
      <c r="A750">
        <v>190</v>
      </c>
      <c r="B750" t="s">
        <v>9</v>
      </c>
      <c r="C750" s="1">
        <v>25400</v>
      </c>
      <c r="D750" s="1" t="s">
        <v>31</v>
      </c>
      <c r="E750">
        <v>43.798690000000001</v>
      </c>
      <c r="F750">
        <v>11.20762</v>
      </c>
      <c r="G750" s="1">
        <v>25398</v>
      </c>
      <c r="H750" s="1" t="s">
        <v>31</v>
      </c>
      <c r="I750">
        <v>43.769460000000002</v>
      </c>
      <c r="J750">
        <v>11.19172</v>
      </c>
      <c r="K750">
        <v>43</v>
      </c>
      <c r="L750">
        <v>961.4</v>
      </c>
      <c r="M750">
        <v>2989.529089068456</v>
      </c>
      <c r="N750">
        <v>2</v>
      </c>
      <c r="O750">
        <v>961.4</v>
      </c>
    </row>
    <row r="751" spans="1:15" x14ac:dyDescent="0.25">
      <c r="A751">
        <v>190</v>
      </c>
      <c r="B751" t="s">
        <v>9</v>
      </c>
      <c r="C751" s="1">
        <v>25401</v>
      </c>
      <c r="D751" s="1" t="s">
        <v>36</v>
      </c>
      <c r="E751">
        <v>43.87838</v>
      </c>
      <c r="F751">
        <v>11.103210000000001</v>
      </c>
      <c r="G751" s="1">
        <v>25290</v>
      </c>
      <c r="H751" s="1" t="s">
        <v>32</v>
      </c>
      <c r="I751">
        <v>43.81803</v>
      </c>
      <c r="J751">
        <v>11.211550000000001</v>
      </c>
      <c r="K751">
        <v>18</v>
      </c>
      <c r="L751">
        <v>58.8</v>
      </c>
      <c r="M751">
        <v>3767.2927545171601</v>
      </c>
      <c r="N751">
        <v>1</v>
      </c>
      <c r="O751">
        <v>58.8</v>
      </c>
    </row>
    <row r="752" spans="1:15" x14ac:dyDescent="0.25">
      <c r="A752">
        <v>190</v>
      </c>
      <c r="B752" t="s">
        <v>9</v>
      </c>
      <c r="C752" s="1">
        <v>25401</v>
      </c>
      <c r="D752" s="1" t="s">
        <v>36</v>
      </c>
      <c r="E752">
        <v>43.87838</v>
      </c>
      <c r="F752">
        <v>11.103210000000001</v>
      </c>
      <c r="G752" s="1">
        <v>25433</v>
      </c>
      <c r="H752" s="1" t="s">
        <v>44</v>
      </c>
      <c r="I752">
        <v>43.923850000000002</v>
      </c>
      <c r="J752">
        <v>11.03511</v>
      </c>
      <c r="K752">
        <v>18</v>
      </c>
      <c r="L752">
        <v>792</v>
      </c>
      <c r="M752">
        <v>2916.6137454326399</v>
      </c>
      <c r="N752">
        <v>1</v>
      </c>
      <c r="O752">
        <v>792</v>
      </c>
    </row>
    <row r="753" spans="1:15" x14ac:dyDescent="0.25">
      <c r="A753">
        <v>190</v>
      </c>
      <c r="B753" t="s">
        <v>9</v>
      </c>
      <c r="C753" s="1">
        <v>25421</v>
      </c>
      <c r="D753" s="1" t="s">
        <v>41</v>
      </c>
      <c r="E753">
        <v>43.619419999999998</v>
      </c>
      <c r="F753">
        <v>11.47508</v>
      </c>
      <c r="G753" s="1">
        <v>4142</v>
      </c>
      <c r="H753" s="1" t="s">
        <v>42</v>
      </c>
      <c r="I753">
        <v>43.529310000000002</v>
      </c>
      <c r="J753">
        <v>11.56737</v>
      </c>
      <c r="K753">
        <v>14</v>
      </c>
      <c r="L753">
        <v>86.4</v>
      </c>
      <c r="M753">
        <v>3645.7671817907999</v>
      </c>
      <c r="N753">
        <v>1</v>
      </c>
      <c r="O753">
        <v>86.4</v>
      </c>
    </row>
    <row r="754" spans="1:15" x14ac:dyDescent="0.25">
      <c r="A754">
        <v>190</v>
      </c>
      <c r="B754" t="s">
        <v>9</v>
      </c>
      <c r="C754" s="1">
        <v>25421</v>
      </c>
      <c r="D754" s="1" t="s">
        <v>41</v>
      </c>
      <c r="E754">
        <v>43.619419999999998</v>
      </c>
      <c r="F754">
        <v>11.47508</v>
      </c>
      <c r="G754" s="1">
        <v>4144</v>
      </c>
      <c r="H754" s="1" t="s">
        <v>38</v>
      </c>
      <c r="I754">
        <v>43.568049999999999</v>
      </c>
      <c r="J754">
        <v>11.529260000000001</v>
      </c>
      <c r="K754">
        <v>5</v>
      </c>
      <c r="L754">
        <v>194.4</v>
      </c>
      <c r="M754">
        <v>2187.4603090744799</v>
      </c>
      <c r="N754">
        <v>1</v>
      </c>
      <c r="O754">
        <v>194.4</v>
      </c>
    </row>
    <row r="755" spans="1:15" x14ac:dyDescent="0.25">
      <c r="A755">
        <v>190</v>
      </c>
      <c r="B755" t="s">
        <v>9</v>
      </c>
      <c r="C755" s="1">
        <v>32094</v>
      </c>
      <c r="D755" s="1" t="s">
        <v>54</v>
      </c>
      <c r="E755">
        <v>43.304879999999997</v>
      </c>
      <c r="F755">
        <v>10.5182</v>
      </c>
      <c r="G755" s="1">
        <v>32098</v>
      </c>
      <c r="H755" s="1" t="s">
        <v>50</v>
      </c>
      <c r="I755">
        <v>43.393940000000001</v>
      </c>
      <c r="J755">
        <v>10.43547</v>
      </c>
      <c r="K755">
        <v>7</v>
      </c>
      <c r="L755">
        <v>70.8</v>
      </c>
      <c r="M755">
        <v>2189.8908205290072</v>
      </c>
      <c r="N755">
        <v>1</v>
      </c>
      <c r="O755">
        <v>70.8</v>
      </c>
    </row>
    <row r="756" spans="1:15" x14ac:dyDescent="0.25">
      <c r="A756">
        <v>190</v>
      </c>
      <c r="B756" t="s">
        <v>9</v>
      </c>
      <c r="C756" s="1">
        <v>33212</v>
      </c>
      <c r="D756" s="1" t="s">
        <v>46</v>
      </c>
      <c r="E756">
        <v>43.844110000000001</v>
      </c>
      <c r="F756">
        <v>10.525460000000001</v>
      </c>
      <c r="G756" s="1">
        <v>77150</v>
      </c>
      <c r="H756" s="1" t="s">
        <v>46</v>
      </c>
      <c r="I756">
        <v>43.860230000000001</v>
      </c>
      <c r="J756">
        <v>10.51596</v>
      </c>
      <c r="K756">
        <v>2</v>
      </c>
      <c r="L756">
        <v>153</v>
      </c>
      <c r="M756">
        <v>1069.4250399919681</v>
      </c>
      <c r="N756">
        <v>1</v>
      </c>
      <c r="O756">
        <v>153</v>
      </c>
    </row>
    <row r="757" spans="1:15" x14ac:dyDescent="0.25">
      <c r="A757">
        <v>190</v>
      </c>
      <c r="B757" t="s">
        <v>9</v>
      </c>
      <c r="C757" s="1">
        <v>33214</v>
      </c>
      <c r="D757" s="1" t="s">
        <v>51</v>
      </c>
      <c r="E757">
        <v>43.868270000000003</v>
      </c>
      <c r="F757">
        <v>10.252879999999999</v>
      </c>
      <c r="G757" s="1">
        <v>33220</v>
      </c>
      <c r="H757" s="1" t="s">
        <v>39</v>
      </c>
      <c r="I757">
        <v>43.894159999999999</v>
      </c>
      <c r="J757">
        <v>10.22714</v>
      </c>
      <c r="K757">
        <v>4</v>
      </c>
      <c r="L757">
        <v>210.7</v>
      </c>
      <c r="M757">
        <v>4642.2768781469513</v>
      </c>
      <c r="N757">
        <v>4</v>
      </c>
      <c r="O757">
        <v>210.7</v>
      </c>
    </row>
    <row r="758" spans="1:15" x14ac:dyDescent="0.25">
      <c r="A758">
        <v>190</v>
      </c>
      <c r="B758" t="s">
        <v>9</v>
      </c>
      <c r="C758" s="1">
        <v>33218</v>
      </c>
      <c r="D758" s="1" t="s">
        <v>52</v>
      </c>
      <c r="E758">
        <v>44.033050000000003</v>
      </c>
      <c r="F758">
        <v>10.50367</v>
      </c>
      <c r="G758" s="1">
        <v>33219</v>
      </c>
      <c r="H758" s="1" t="s">
        <v>47</v>
      </c>
      <c r="I758">
        <v>44.110500000000002</v>
      </c>
      <c r="J758">
        <v>10.41159</v>
      </c>
      <c r="K758">
        <v>24</v>
      </c>
      <c r="L758">
        <v>358.5</v>
      </c>
      <c r="M758">
        <v>4131.8694726962403</v>
      </c>
      <c r="N758">
        <v>1</v>
      </c>
      <c r="O758">
        <v>358.5</v>
      </c>
    </row>
    <row r="759" spans="1:15" x14ac:dyDescent="0.25">
      <c r="A759">
        <v>190</v>
      </c>
      <c r="B759" t="s">
        <v>9</v>
      </c>
      <c r="C759" s="1">
        <v>33220</v>
      </c>
      <c r="D759" s="1" t="s">
        <v>39</v>
      </c>
      <c r="E759">
        <v>43.894159999999999</v>
      </c>
      <c r="F759">
        <v>10.22714</v>
      </c>
      <c r="G759" s="1">
        <v>33221</v>
      </c>
      <c r="H759" s="1" t="s">
        <v>40</v>
      </c>
      <c r="I759">
        <v>43.956339999999997</v>
      </c>
      <c r="J759">
        <v>10.22996</v>
      </c>
      <c r="K759">
        <v>5</v>
      </c>
      <c r="L759">
        <v>168.3</v>
      </c>
      <c r="M759">
        <v>10164.398902832751</v>
      </c>
      <c r="N759">
        <v>4</v>
      </c>
      <c r="O759">
        <v>168.3</v>
      </c>
    </row>
    <row r="760" spans="1:15" x14ac:dyDescent="0.25">
      <c r="A760">
        <v>190</v>
      </c>
      <c r="B760" t="s">
        <v>9</v>
      </c>
      <c r="C760" s="1">
        <v>4144</v>
      </c>
      <c r="D760" s="1" t="s">
        <v>38</v>
      </c>
      <c r="E760">
        <v>43.568049999999999</v>
      </c>
      <c r="F760">
        <v>11.529260000000001</v>
      </c>
      <c r="G760" s="1">
        <v>25421</v>
      </c>
      <c r="H760" s="1" t="s">
        <v>41</v>
      </c>
      <c r="I760">
        <v>43.619419999999998</v>
      </c>
      <c r="J760">
        <v>11.47508</v>
      </c>
      <c r="K760">
        <v>5</v>
      </c>
      <c r="L760">
        <v>82.59999999999998</v>
      </c>
      <c r="M760">
        <v>6691.1980343133819</v>
      </c>
      <c r="N760">
        <v>1</v>
      </c>
      <c r="O760">
        <v>82.6</v>
      </c>
    </row>
    <row r="761" spans="1:15" x14ac:dyDescent="0.25">
      <c r="A761">
        <v>190</v>
      </c>
      <c r="B761" t="s">
        <v>9</v>
      </c>
      <c r="C761" s="1">
        <v>4144</v>
      </c>
      <c r="D761" s="1" t="s">
        <v>38</v>
      </c>
      <c r="E761">
        <v>43.568049999999999</v>
      </c>
      <c r="F761">
        <v>11.529260000000001</v>
      </c>
      <c r="G761" s="1">
        <v>4142</v>
      </c>
      <c r="H761" s="1" t="s">
        <v>42</v>
      </c>
      <c r="I761">
        <v>43.529310000000002</v>
      </c>
      <c r="J761">
        <v>11.56737</v>
      </c>
      <c r="K761">
        <v>4</v>
      </c>
      <c r="L761">
        <v>244.6</v>
      </c>
      <c r="M761">
        <v>1458.30687271632</v>
      </c>
      <c r="N761">
        <v>1</v>
      </c>
      <c r="O761">
        <v>244.6</v>
      </c>
    </row>
    <row r="762" spans="1:15" x14ac:dyDescent="0.25">
      <c r="A762">
        <v>190</v>
      </c>
      <c r="B762" t="s">
        <v>9</v>
      </c>
      <c r="C762" s="1">
        <v>46445</v>
      </c>
      <c r="D762" s="1" t="s">
        <v>35</v>
      </c>
      <c r="E762">
        <v>43.10801</v>
      </c>
      <c r="F762">
        <v>12.377940000000001</v>
      </c>
      <c r="G762" s="1">
        <v>46468</v>
      </c>
      <c r="H762" s="1" t="s">
        <v>33</v>
      </c>
      <c r="I762">
        <v>43.116489999999999</v>
      </c>
      <c r="J762">
        <v>12.45126</v>
      </c>
      <c r="K762">
        <v>7</v>
      </c>
      <c r="L762">
        <v>369.4</v>
      </c>
      <c r="M762">
        <v>9381.7742144749918</v>
      </c>
      <c r="N762">
        <v>3</v>
      </c>
      <c r="O762">
        <v>369.4</v>
      </c>
    </row>
    <row r="763" spans="1:15" x14ac:dyDescent="0.25">
      <c r="A763">
        <v>190</v>
      </c>
      <c r="B763" t="s">
        <v>9</v>
      </c>
      <c r="C763" s="1">
        <v>46445</v>
      </c>
      <c r="D763" s="1" t="s">
        <v>35</v>
      </c>
      <c r="E763">
        <v>43.10801</v>
      </c>
      <c r="F763">
        <v>12.377940000000001</v>
      </c>
      <c r="G763" s="1">
        <v>46471</v>
      </c>
      <c r="H763" s="1" t="s">
        <v>34</v>
      </c>
      <c r="I763">
        <v>43.10031</v>
      </c>
      <c r="J763">
        <v>12.318519999999999</v>
      </c>
      <c r="K763">
        <v>11</v>
      </c>
      <c r="L763">
        <v>377</v>
      </c>
      <c r="M763">
        <v>5420.0405435956563</v>
      </c>
      <c r="N763">
        <v>3</v>
      </c>
      <c r="O763">
        <v>377</v>
      </c>
    </row>
    <row r="764" spans="1:15" x14ac:dyDescent="0.25">
      <c r="A764">
        <v>190</v>
      </c>
      <c r="B764" t="s">
        <v>9</v>
      </c>
      <c r="C764" s="1">
        <v>46471</v>
      </c>
      <c r="D764" s="1" t="s">
        <v>34</v>
      </c>
      <c r="E764">
        <v>43.10031</v>
      </c>
      <c r="F764">
        <v>12.318519999999999</v>
      </c>
      <c r="G764" s="1">
        <v>46445</v>
      </c>
      <c r="H764" s="1" t="s">
        <v>35</v>
      </c>
      <c r="I764">
        <v>43.10801</v>
      </c>
      <c r="J764">
        <v>12.377940000000001</v>
      </c>
      <c r="K764">
        <v>11</v>
      </c>
      <c r="L764">
        <v>678.88</v>
      </c>
      <c r="M764">
        <v>1701.35801816904</v>
      </c>
      <c r="N764">
        <v>1</v>
      </c>
      <c r="O764">
        <v>678.88</v>
      </c>
    </row>
    <row r="765" spans="1:15" x14ac:dyDescent="0.25">
      <c r="A765">
        <v>190</v>
      </c>
      <c r="B765" t="s">
        <v>9</v>
      </c>
      <c r="C765" s="1">
        <v>59131</v>
      </c>
      <c r="D765" s="1" t="s">
        <v>45</v>
      </c>
      <c r="E765">
        <v>43.331879999999998</v>
      </c>
      <c r="F765">
        <v>11.32122</v>
      </c>
      <c r="G765" s="1">
        <v>59157</v>
      </c>
      <c r="H765" s="1" t="s">
        <v>45</v>
      </c>
      <c r="I765">
        <v>43.29034</v>
      </c>
      <c r="J765">
        <v>11.33822</v>
      </c>
      <c r="K765">
        <v>20</v>
      </c>
      <c r="L765">
        <v>1303.42</v>
      </c>
      <c r="M765">
        <v>4.8610229090543999</v>
      </c>
      <c r="N765">
        <v>2</v>
      </c>
      <c r="O765">
        <v>1303.42</v>
      </c>
    </row>
    <row r="766" spans="1:15" x14ac:dyDescent="0.25">
      <c r="A766">
        <v>190</v>
      </c>
      <c r="B766" t="s">
        <v>9</v>
      </c>
      <c r="C766" s="1">
        <v>59157</v>
      </c>
      <c r="D766" s="1" t="s">
        <v>45</v>
      </c>
      <c r="E766">
        <v>43.29034</v>
      </c>
      <c r="F766">
        <v>11.33822</v>
      </c>
      <c r="G766" s="1">
        <v>59131</v>
      </c>
      <c r="H766" s="1" t="s">
        <v>45</v>
      </c>
      <c r="I766">
        <v>43.331879999999998</v>
      </c>
      <c r="J766">
        <v>11.32122</v>
      </c>
      <c r="K766">
        <v>7</v>
      </c>
      <c r="L766">
        <v>408.4</v>
      </c>
      <c r="M766">
        <v>2187.4603090744799</v>
      </c>
      <c r="N766">
        <v>1</v>
      </c>
      <c r="O766">
        <v>408.4</v>
      </c>
    </row>
    <row r="767" spans="1:15" x14ac:dyDescent="0.25">
      <c r="A767">
        <v>190</v>
      </c>
      <c r="B767" t="s">
        <v>9</v>
      </c>
      <c r="C767" s="1">
        <v>77343</v>
      </c>
      <c r="D767" s="1" t="s">
        <v>43</v>
      </c>
      <c r="E767">
        <v>42.812559999999998</v>
      </c>
      <c r="F767">
        <v>10.31758</v>
      </c>
      <c r="G767" s="1">
        <v>32095</v>
      </c>
      <c r="H767" s="1" t="s">
        <v>43</v>
      </c>
      <c r="I767">
        <v>42.810519999999997</v>
      </c>
      <c r="J767">
        <v>10.30799</v>
      </c>
      <c r="K767">
        <v>3</v>
      </c>
      <c r="L767">
        <v>273.7</v>
      </c>
      <c r="M767">
        <v>291.661374543264</v>
      </c>
      <c r="N767">
        <v>1</v>
      </c>
      <c r="O767">
        <v>273.7</v>
      </c>
    </row>
    <row r="768" spans="1:15" x14ac:dyDescent="0.25">
      <c r="A768">
        <v>190</v>
      </c>
      <c r="B768" t="s">
        <v>9</v>
      </c>
      <c r="C768" s="1">
        <v>85210</v>
      </c>
      <c r="D768" s="1" t="s">
        <v>49</v>
      </c>
      <c r="E768">
        <v>43.928640000000001</v>
      </c>
      <c r="F768">
        <v>10.9284</v>
      </c>
      <c r="G768" s="1">
        <v>77334</v>
      </c>
      <c r="H768" s="1" t="s">
        <v>49</v>
      </c>
      <c r="I768">
        <v>43.939680000000003</v>
      </c>
      <c r="J768">
        <v>10.943490000000001</v>
      </c>
      <c r="K768">
        <v>1</v>
      </c>
      <c r="L768">
        <v>37</v>
      </c>
      <c r="M768">
        <v>850.67900908451998</v>
      </c>
      <c r="N768">
        <v>1</v>
      </c>
      <c r="O768">
        <v>37</v>
      </c>
    </row>
    <row r="769" spans="1:15" x14ac:dyDescent="0.25">
      <c r="A769">
        <v>190</v>
      </c>
      <c r="B769" t="s">
        <v>9</v>
      </c>
      <c r="C769" s="1">
        <v>92197</v>
      </c>
      <c r="D769" s="1" t="s">
        <v>53</v>
      </c>
      <c r="E769">
        <v>42.570590000000003</v>
      </c>
      <c r="F769">
        <v>12.632300000000001</v>
      </c>
      <c r="G769" s="1">
        <v>92198</v>
      </c>
      <c r="H769" s="1" t="s">
        <v>48</v>
      </c>
      <c r="I769">
        <v>42.529159999999997</v>
      </c>
      <c r="J769">
        <v>12.51361</v>
      </c>
      <c r="K769">
        <v>25</v>
      </c>
      <c r="L769">
        <v>475</v>
      </c>
      <c r="M769">
        <v>7218.6190199457833</v>
      </c>
      <c r="N769">
        <v>2</v>
      </c>
      <c r="O769">
        <v>475</v>
      </c>
    </row>
    <row r="770" spans="1:15" x14ac:dyDescent="0.25">
      <c r="A770">
        <v>210</v>
      </c>
      <c r="B770" t="s">
        <v>7</v>
      </c>
      <c r="C770" s="1">
        <v>25290</v>
      </c>
      <c r="D770" s="1" t="s">
        <v>32</v>
      </c>
      <c r="E770">
        <v>43.81803</v>
      </c>
      <c r="F770">
        <v>11.211550000000001</v>
      </c>
      <c r="G770" s="1">
        <v>25239</v>
      </c>
      <c r="H770" s="1" t="s">
        <v>31</v>
      </c>
      <c r="I770">
        <v>43.77281</v>
      </c>
      <c r="J770">
        <v>11.29452</v>
      </c>
      <c r="K770">
        <v>130</v>
      </c>
      <c r="L770">
        <v>4987.1000000000004</v>
      </c>
      <c r="M770">
        <v>18228.835908953999</v>
      </c>
      <c r="N770">
        <v>5</v>
      </c>
      <c r="O770">
        <v>4987.1000000000004</v>
      </c>
    </row>
    <row r="771" spans="1:15" x14ac:dyDescent="0.25">
      <c r="A771">
        <v>210</v>
      </c>
      <c r="B771" t="s">
        <v>7</v>
      </c>
      <c r="C771" s="1">
        <v>25290</v>
      </c>
      <c r="D771" s="1" t="s">
        <v>32</v>
      </c>
      <c r="E771">
        <v>43.81803</v>
      </c>
      <c r="F771">
        <v>11.211550000000001</v>
      </c>
      <c r="G771" s="1">
        <v>25398</v>
      </c>
      <c r="H771" s="1" t="s">
        <v>31</v>
      </c>
      <c r="I771">
        <v>43.769460000000002</v>
      </c>
      <c r="J771">
        <v>11.19172</v>
      </c>
      <c r="K771">
        <v>35</v>
      </c>
      <c r="L771">
        <v>2019.72</v>
      </c>
      <c r="M771">
        <v>11182.78320227965</v>
      </c>
      <c r="N771">
        <v>4</v>
      </c>
      <c r="O771">
        <v>2019.72</v>
      </c>
    </row>
    <row r="772" spans="1:15" x14ac:dyDescent="0.25">
      <c r="A772">
        <v>210</v>
      </c>
      <c r="B772" t="s">
        <v>7</v>
      </c>
      <c r="C772" s="1">
        <v>25290</v>
      </c>
      <c r="D772" s="1" t="s">
        <v>32</v>
      </c>
      <c r="E772">
        <v>43.81803</v>
      </c>
      <c r="F772">
        <v>11.211550000000001</v>
      </c>
      <c r="G772" s="1">
        <v>25400</v>
      </c>
      <c r="H772" s="1" t="s">
        <v>31</v>
      </c>
      <c r="I772">
        <v>43.798690000000001</v>
      </c>
      <c r="J772">
        <v>11.20762</v>
      </c>
      <c r="K772">
        <v>73</v>
      </c>
      <c r="L772">
        <v>6189.96</v>
      </c>
      <c r="M772">
        <v>10086.622536287879</v>
      </c>
      <c r="N772">
        <v>7</v>
      </c>
      <c r="O772">
        <v>6189.96</v>
      </c>
    </row>
    <row r="773" spans="1:15" x14ac:dyDescent="0.25">
      <c r="A773">
        <v>210</v>
      </c>
      <c r="B773" t="s">
        <v>7</v>
      </c>
      <c r="C773" s="1">
        <v>25290</v>
      </c>
      <c r="D773" s="1" t="s">
        <v>32</v>
      </c>
      <c r="E773">
        <v>43.81803</v>
      </c>
      <c r="F773">
        <v>11.211550000000001</v>
      </c>
      <c r="G773" s="1">
        <v>25401</v>
      </c>
      <c r="H773" s="1" t="s">
        <v>36</v>
      </c>
      <c r="I773">
        <v>43.87838</v>
      </c>
      <c r="J773">
        <v>11.103210000000001</v>
      </c>
      <c r="K773">
        <v>155</v>
      </c>
      <c r="L773">
        <v>2791.3</v>
      </c>
      <c r="M773">
        <v>18690.63308531417</v>
      </c>
      <c r="N773">
        <v>5</v>
      </c>
      <c r="O773">
        <v>2791.3</v>
      </c>
    </row>
    <row r="774" spans="1:15" x14ac:dyDescent="0.25">
      <c r="A774">
        <v>210</v>
      </c>
      <c r="B774" t="s">
        <v>7</v>
      </c>
      <c r="C774" s="1">
        <v>25290</v>
      </c>
      <c r="D774" s="1" t="s">
        <v>32</v>
      </c>
      <c r="E774">
        <v>43.81803</v>
      </c>
      <c r="F774">
        <v>11.211550000000001</v>
      </c>
      <c r="G774" s="1">
        <v>25417</v>
      </c>
      <c r="H774" s="1" t="s">
        <v>37</v>
      </c>
      <c r="I774">
        <v>43.754040000000003</v>
      </c>
      <c r="J774">
        <v>11.32128</v>
      </c>
      <c r="K774">
        <v>64</v>
      </c>
      <c r="L774">
        <v>973.3</v>
      </c>
      <c r="M774">
        <v>14194.18689443885</v>
      </c>
      <c r="N774">
        <v>2</v>
      </c>
      <c r="O774">
        <v>973.3</v>
      </c>
    </row>
    <row r="775" spans="1:15" x14ac:dyDescent="0.25">
      <c r="A775">
        <v>210</v>
      </c>
      <c r="B775" t="s">
        <v>7</v>
      </c>
      <c r="C775" s="1">
        <v>25398</v>
      </c>
      <c r="D775" s="1" t="s">
        <v>31</v>
      </c>
      <c r="E775">
        <v>43.769460000000002</v>
      </c>
      <c r="F775">
        <v>11.19172</v>
      </c>
      <c r="G775" s="1">
        <v>25239</v>
      </c>
      <c r="H775" s="1" t="s">
        <v>31</v>
      </c>
      <c r="I775">
        <v>43.77281</v>
      </c>
      <c r="J775">
        <v>11.29452</v>
      </c>
      <c r="K775">
        <v>4</v>
      </c>
      <c r="L775">
        <v>134</v>
      </c>
      <c r="M775">
        <v>2916.6137454326399</v>
      </c>
      <c r="N775">
        <v>1</v>
      </c>
      <c r="O775">
        <v>134</v>
      </c>
    </row>
    <row r="776" spans="1:15" x14ac:dyDescent="0.25">
      <c r="A776">
        <v>210</v>
      </c>
      <c r="B776" t="s">
        <v>7</v>
      </c>
      <c r="C776" s="1">
        <v>25398</v>
      </c>
      <c r="D776" s="1" t="s">
        <v>31</v>
      </c>
      <c r="E776">
        <v>43.769460000000002</v>
      </c>
      <c r="F776">
        <v>11.19172</v>
      </c>
      <c r="G776" s="1">
        <v>25290</v>
      </c>
      <c r="H776" s="1" t="s">
        <v>32</v>
      </c>
      <c r="I776">
        <v>43.81803</v>
      </c>
      <c r="J776">
        <v>11.211550000000001</v>
      </c>
      <c r="K776">
        <v>198</v>
      </c>
      <c r="L776">
        <v>38</v>
      </c>
      <c r="M776">
        <v>4377.3511296034876</v>
      </c>
      <c r="N776">
        <v>1</v>
      </c>
      <c r="O776">
        <v>38</v>
      </c>
    </row>
    <row r="777" spans="1:15" x14ac:dyDescent="0.25">
      <c r="A777">
        <v>210</v>
      </c>
      <c r="B777" t="s">
        <v>7</v>
      </c>
      <c r="C777" s="1">
        <v>25400</v>
      </c>
      <c r="D777" s="1" t="s">
        <v>31</v>
      </c>
      <c r="E777">
        <v>43.798690000000001</v>
      </c>
      <c r="F777">
        <v>11.20762</v>
      </c>
      <c r="G777" s="1">
        <v>25290</v>
      </c>
      <c r="H777" s="1" t="s">
        <v>32</v>
      </c>
      <c r="I777">
        <v>43.81803</v>
      </c>
      <c r="J777">
        <v>11.211550000000001</v>
      </c>
      <c r="K777">
        <v>2</v>
      </c>
      <c r="L777">
        <v>159.91999999999999</v>
      </c>
      <c r="M777">
        <v>2673.5625999799199</v>
      </c>
      <c r="N777">
        <v>2</v>
      </c>
      <c r="O777">
        <v>159.91999999999999</v>
      </c>
    </row>
    <row r="778" spans="1:15" x14ac:dyDescent="0.25">
      <c r="A778">
        <v>210</v>
      </c>
      <c r="B778" t="s">
        <v>7</v>
      </c>
      <c r="C778" s="1">
        <v>25400</v>
      </c>
      <c r="D778" s="1" t="s">
        <v>31</v>
      </c>
      <c r="E778">
        <v>43.798690000000001</v>
      </c>
      <c r="F778">
        <v>11.20762</v>
      </c>
      <c r="G778" s="1">
        <v>25398</v>
      </c>
      <c r="H778" s="1" t="s">
        <v>31</v>
      </c>
      <c r="I778">
        <v>43.769460000000002</v>
      </c>
      <c r="J778">
        <v>11.19172</v>
      </c>
      <c r="K778">
        <v>82</v>
      </c>
      <c r="L778">
        <v>961.4</v>
      </c>
      <c r="M778">
        <v>2989.529089068456</v>
      </c>
      <c r="N778">
        <v>2</v>
      </c>
      <c r="O778">
        <v>961.4</v>
      </c>
    </row>
    <row r="779" spans="1:15" x14ac:dyDescent="0.25">
      <c r="A779">
        <v>210</v>
      </c>
      <c r="B779" t="s">
        <v>7</v>
      </c>
      <c r="C779" s="1">
        <v>25401</v>
      </c>
      <c r="D779" s="1" t="s">
        <v>36</v>
      </c>
      <c r="E779">
        <v>43.87838</v>
      </c>
      <c r="F779">
        <v>11.103210000000001</v>
      </c>
      <c r="G779" s="1">
        <v>25290</v>
      </c>
      <c r="H779" s="1" t="s">
        <v>32</v>
      </c>
      <c r="I779">
        <v>43.81803</v>
      </c>
      <c r="J779">
        <v>11.211550000000001</v>
      </c>
      <c r="K779">
        <v>4</v>
      </c>
      <c r="L779">
        <v>58.8</v>
      </c>
      <c r="M779">
        <v>3767.2927545171601</v>
      </c>
      <c r="N779">
        <v>1</v>
      </c>
      <c r="O779">
        <v>58.8</v>
      </c>
    </row>
    <row r="780" spans="1:15" x14ac:dyDescent="0.25">
      <c r="A780">
        <v>210</v>
      </c>
      <c r="B780" t="s">
        <v>7</v>
      </c>
      <c r="C780" s="1">
        <v>25401</v>
      </c>
      <c r="D780" s="1" t="s">
        <v>36</v>
      </c>
      <c r="E780">
        <v>43.87838</v>
      </c>
      <c r="F780">
        <v>11.103210000000001</v>
      </c>
      <c r="G780" s="1">
        <v>25433</v>
      </c>
      <c r="H780" s="1" t="s">
        <v>44</v>
      </c>
      <c r="I780">
        <v>43.923850000000002</v>
      </c>
      <c r="J780">
        <v>11.03511</v>
      </c>
      <c r="K780">
        <v>18</v>
      </c>
      <c r="L780">
        <v>792</v>
      </c>
      <c r="M780">
        <v>2916.6137454326399</v>
      </c>
      <c r="N780">
        <v>1</v>
      </c>
      <c r="O780">
        <v>792</v>
      </c>
    </row>
    <row r="781" spans="1:15" x14ac:dyDescent="0.25">
      <c r="A781">
        <v>210</v>
      </c>
      <c r="B781" t="s">
        <v>7</v>
      </c>
      <c r="C781" s="1">
        <v>25421</v>
      </c>
      <c r="D781" s="1" t="s">
        <v>41</v>
      </c>
      <c r="E781">
        <v>43.619419999999998</v>
      </c>
      <c r="F781">
        <v>11.47508</v>
      </c>
      <c r="G781" s="1">
        <v>4142</v>
      </c>
      <c r="H781" s="1" t="s">
        <v>42</v>
      </c>
      <c r="I781">
        <v>43.529310000000002</v>
      </c>
      <c r="J781">
        <v>11.56737</v>
      </c>
      <c r="K781">
        <v>14</v>
      </c>
      <c r="L781">
        <v>86.4</v>
      </c>
      <c r="M781">
        <v>3645.7671817907999</v>
      </c>
      <c r="N781">
        <v>1</v>
      </c>
      <c r="O781">
        <v>86.4</v>
      </c>
    </row>
    <row r="782" spans="1:15" x14ac:dyDescent="0.25">
      <c r="A782">
        <v>210</v>
      </c>
      <c r="B782" t="s">
        <v>7</v>
      </c>
      <c r="C782" s="1">
        <v>25421</v>
      </c>
      <c r="D782" s="1" t="s">
        <v>41</v>
      </c>
      <c r="E782">
        <v>43.619419999999998</v>
      </c>
      <c r="F782">
        <v>11.47508</v>
      </c>
      <c r="G782" s="1">
        <v>4144</v>
      </c>
      <c r="H782" s="1" t="s">
        <v>38</v>
      </c>
      <c r="I782">
        <v>43.568049999999999</v>
      </c>
      <c r="J782">
        <v>11.529260000000001</v>
      </c>
      <c r="K782">
        <v>5</v>
      </c>
      <c r="L782">
        <v>194.4</v>
      </c>
      <c r="M782">
        <v>2187.4603090744799</v>
      </c>
      <c r="N782">
        <v>1</v>
      </c>
      <c r="O782">
        <v>194.4</v>
      </c>
    </row>
    <row r="783" spans="1:15" x14ac:dyDescent="0.25">
      <c r="A783">
        <v>210</v>
      </c>
      <c r="B783" t="s">
        <v>7</v>
      </c>
      <c r="C783" s="1">
        <v>32094</v>
      </c>
      <c r="D783" s="1" t="s">
        <v>54</v>
      </c>
      <c r="E783">
        <v>43.304879999999997</v>
      </c>
      <c r="F783">
        <v>10.5182</v>
      </c>
      <c r="G783" s="1">
        <v>32098</v>
      </c>
      <c r="H783" s="1" t="s">
        <v>50</v>
      </c>
      <c r="I783">
        <v>43.393940000000001</v>
      </c>
      <c r="J783">
        <v>10.43547</v>
      </c>
      <c r="K783">
        <v>7</v>
      </c>
      <c r="L783">
        <v>70.8</v>
      </c>
      <c r="M783">
        <v>2189.8908205290072</v>
      </c>
      <c r="N783">
        <v>1</v>
      </c>
      <c r="O783">
        <v>70.8</v>
      </c>
    </row>
    <row r="784" spans="1:15" x14ac:dyDescent="0.25">
      <c r="A784">
        <v>210</v>
      </c>
      <c r="B784" t="s">
        <v>7</v>
      </c>
      <c r="C784" s="1">
        <v>33212</v>
      </c>
      <c r="D784" s="1" t="s">
        <v>46</v>
      </c>
      <c r="E784">
        <v>43.844110000000001</v>
      </c>
      <c r="F784">
        <v>10.525460000000001</v>
      </c>
      <c r="G784" s="1">
        <v>77150</v>
      </c>
      <c r="H784" s="1" t="s">
        <v>46</v>
      </c>
      <c r="I784">
        <v>43.860230000000001</v>
      </c>
      <c r="J784">
        <v>10.51596</v>
      </c>
      <c r="K784">
        <v>2</v>
      </c>
      <c r="L784">
        <v>153</v>
      </c>
      <c r="M784">
        <v>1069.4250399919681</v>
      </c>
      <c r="N784">
        <v>1</v>
      </c>
      <c r="O784">
        <v>153</v>
      </c>
    </row>
    <row r="785" spans="1:15" x14ac:dyDescent="0.25">
      <c r="A785">
        <v>210</v>
      </c>
      <c r="B785" t="s">
        <v>7</v>
      </c>
      <c r="C785" s="1">
        <v>33214</v>
      </c>
      <c r="D785" s="1" t="s">
        <v>51</v>
      </c>
      <c r="E785">
        <v>43.868270000000003</v>
      </c>
      <c r="F785">
        <v>10.252879999999999</v>
      </c>
      <c r="G785" s="1">
        <v>33220</v>
      </c>
      <c r="H785" s="1" t="s">
        <v>39</v>
      </c>
      <c r="I785">
        <v>43.894159999999999</v>
      </c>
      <c r="J785">
        <v>10.22714</v>
      </c>
      <c r="K785">
        <v>3</v>
      </c>
      <c r="L785">
        <v>210.7</v>
      </c>
      <c r="M785">
        <v>4642.2768781469513</v>
      </c>
      <c r="N785">
        <v>4</v>
      </c>
      <c r="O785">
        <v>210.7</v>
      </c>
    </row>
    <row r="786" spans="1:15" x14ac:dyDescent="0.25">
      <c r="A786">
        <v>210</v>
      </c>
      <c r="B786" t="s">
        <v>7</v>
      </c>
      <c r="C786" s="1">
        <v>33218</v>
      </c>
      <c r="D786" s="1" t="s">
        <v>52</v>
      </c>
      <c r="E786">
        <v>44.033050000000003</v>
      </c>
      <c r="F786">
        <v>10.50367</v>
      </c>
      <c r="G786" s="1">
        <v>33219</v>
      </c>
      <c r="H786" s="1" t="s">
        <v>47</v>
      </c>
      <c r="I786">
        <v>44.110500000000002</v>
      </c>
      <c r="J786">
        <v>10.41159</v>
      </c>
      <c r="K786">
        <v>24</v>
      </c>
      <c r="L786">
        <v>358.5</v>
      </c>
      <c r="M786">
        <v>4131.8694726962403</v>
      </c>
      <c r="N786">
        <v>1</v>
      </c>
      <c r="O786">
        <v>358.5</v>
      </c>
    </row>
    <row r="787" spans="1:15" x14ac:dyDescent="0.25">
      <c r="A787">
        <v>210</v>
      </c>
      <c r="B787" t="s">
        <v>7</v>
      </c>
      <c r="C787" s="1">
        <v>33220</v>
      </c>
      <c r="D787" s="1" t="s">
        <v>39</v>
      </c>
      <c r="E787">
        <v>43.894159999999999</v>
      </c>
      <c r="F787">
        <v>10.22714</v>
      </c>
      <c r="G787" s="1">
        <v>33221</v>
      </c>
      <c r="H787" s="1" t="s">
        <v>40</v>
      </c>
      <c r="I787">
        <v>43.956339999999997</v>
      </c>
      <c r="J787">
        <v>10.22996</v>
      </c>
      <c r="K787">
        <v>5</v>
      </c>
      <c r="L787">
        <v>168.3</v>
      </c>
      <c r="M787">
        <v>10164.398902832751</v>
      </c>
      <c r="N787">
        <v>4</v>
      </c>
      <c r="O787">
        <v>168.3</v>
      </c>
    </row>
    <row r="788" spans="1:15" x14ac:dyDescent="0.25">
      <c r="A788">
        <v>210</v>
      </c>
      <c r="B788" t="s">
        <v>7</v>
      </c>
      <c r="C788" s="1">
        <v>4144</v>
      </c>
      <c r="D788" s="1" t="s">
        <v>38</v>
      </c>
      <c r="E788">
        <v>43.568049999999999</v>
      </c>
      <c r="F788">
        <v>11.529260000000001</v>
      </c>
      <c r="G788" s="1">
        <v>25421</v>
      </c>
      <c r="H788" s="1" t="s">
        <v>41</v>
      </c>
      <c r="I788">
        <v>43.619419999999998</v>
      </c>
      <c r="J788">
        <v>11.47508</v>
      </c>
      <c r="K788">
        <v>2</v>
      </c>
      <c r="L788">
        <v>82.6</v>
      </c>
      <c r="M788">
        <v>6691.1980343133819</v>
      </c>
      <c r="N788">
        <v>1</v>
      </c>
      <c r="O788">
        <v>82.6</v>
      </c>
    </row>
    <row r="789" spans="1:15" x14ac:dyDescent="0.25">
      <c r="A789">
        <v>210</v>
      </c>
      <c r="B789" t="s">
        <v>7</v>
      </c>
      <c r="C789" s="1">
        <v>4144</v>
      </c>
      <c r="D789" s="1" t="s">
        <v>38</v>
      </c>
      <c r="E789">
        <v>43.568049999999999</v>
      </c>
      <c r="F789">
        <v>11.529260000000001</v>
      </c>
      <c r="G789" s="1">
        <v>4142</v>
      </c>
      <c r="H789" s="1" t="s">
        <v>42</v>
      </c>
      <c r="I789">
        <v>43.529310000000002</v>
      </c>
      <c r="J789">
        <v>11.56737</v>
      </c>
      <c r="K789">
        <v>5</v>
      </c>
      <c r="L789">
        <v>244.6</v>
      </c>
      <c r="M789">
        <v>1458.30687271632</v>
      </c>
      <c r="N789">
        <v>1</v>
      </c>
      <c r="O789">
        <v>244.6</v>
      </c>
    </row>
    <row r="790" spans="1:15" x14ac:dyDescent="0.25">
      <c r="A790">
        <v>210</v>
      </c>
      <c r="B790" t="s">
        <v>7</v>
      </c>
      <c r="C790" s="1">
        <v>46445</v>
      </c>
      <c r="D790" s="1" t="s">
        <v>35</v>
      </c>
      <c r="E790">
        <v>43.10801</v>
      </c>
      <c r="F790">
        <v>12.377940000000001</v>
      </c>
      <c r="G790" s="1">
        <v>46468</v>
      </c>
      <c r="H790" s="1" t="s">
        <v>33</v>
      </c>
      <c r="I790">
        <v>43.116489999999999</v>
      </c>
      <c r="J790">
        <v>12.45126</v>
      </c>
      <c r="K790">
        <v>7</v>
      </c>
      <c r="L790">
        <v>369.4</v>
      </c>
      <c r="M790">
        <v>9381.7742144749918</v>
      </c>
      <c r="N790">
        <v>3</v>
      </c>
      <c r="O790">
        <v>369.4</v>
      </c>
    </row>
    <row r="791" spans="1:15" x14ac:dyDescent="0.25">
      <c r="A791">
        <v>210</v>
      </c>
      <c r="B791" t="s">
        <v>7</v>
      </c>
      <c r="C791" s="1">
        <v>46445</v>
      </c>
      <c r="D791" s="1" t="s">
        <v>35</v>
      </c>
      <c r="E791">
        <v>43.10801</v>
      </c>
      <c r="F791">
        <v>12.377940000000001</v>
      </c>
      <c r="G791" s="1">
        <v>46471</v>
      </c>
      <c r="H791" s="1" t="s">
        <v>34</v>
      </c>
      <c r="I791">
        <v>43.10031</v>
      </c>
      <c r="J791">
        <v>12.318519999999999</v>
      </c>
      <c r="K791">
        <v>11</v>
      </c>
      <c r="L791">
        <v>377</v>
      </c>
      <c r="M791">
        <v>5420.0405435956563</v>
      </c>
      <c r="N791">
        <v>3</v>
      </c>
      <c r="O791">
        <v>377</v>
      </c>
    </row>
    <row r="792" spans="1:15" x14ac:dyDescent="0.25">
      <c r="A792">
        <v>210</v>
      </c>
      <c r="B792" t="s">
        <v>7</v>
      </c>
      <c r="C792" s="1">
        <v>46471</v>
      </c>
      <c r="D792" s="1" t="s">
        <v>34</v>
      </c>
      <c r="E792">
        <v>43.10031</v>
      </c>
      <c r="F792">
        <v>12.318519999999999</v>
      </c>
      <c r="G792" s="1">
        <v>46445</v>
      </c>
      <c r="H792" s="1" t="s">
        <v>35</v>
      </c>
      <c r="I792">
        <v>43.10801</v>
      </c>
      <c r="J792">
        <v>12.377940000000001</v>
      </c>
      <c r="K792">
        <v>11</v>
      </c>
      <c r="L792">
        <v>678.88</v>
      </c>
      <c r="M792">
        <v>1701.35801816904</v>
      </c>
      <c r="N792">
        <v>1</v>
      </c>
      <c r="O792">
        <v>678.88</v>
      </c>
    </row>
    <row r="793" spans="1:15" x14ac:dyDescent="0.25">
      <c r="A793">
        <v>210</v>
      </c>
      <c r="B793" t="s">
        <v>7</v>
      </c>
      <c r="C793" s="1">
        <v>59131</v>
      </c>
      <c r="D793" s="1" t="s">
        <v>45</v>
      </c>
      <c r="E793">
        <v>43.331879999999998</v>
      </c>
      <c r="F793">
        <v>11.32122</v>
      </c>
      <c r="G793" s="1">
        <v>59157</v>
      </c>
      <c r="H793" s="1" t="s">
        <v>45</v>
      </c>
      <c r="I793">
        <v>43.29034</v>
      </c>
      <c r="J793">
        <v>11.33822</v>
      </c>
      <c r="K793">
        <v>20</v>
      </c>
      <c r="L793">
        <v>1303.42</v>
      </c>
      <c r="M793">
        <v>4.8610229090543999</v>
      </c>
      <c r="N793">
        <v>2</v>
      </c>
      <c r="O793">
        <v>1303.42</v>
      </c>
    </row>
    <row r="794" spans="1:15" x14ac:dyDescent="0.25">
      <c r="A794">
        <v>210</v>
      </c>
      <c r="B794" t="s">
        <v>7</v>
      </c>
      <c r="C794" s="1">
        <v>59157</v>
      </c>
      <c r="D794" s="1" t="s">
        <v>45</v>
      </c>
      <c r="E794">
        <v>43.29034</v>
      </c>
      <c r="F794">
        <v>11.33822</v>
      </c>
      <c r="G794" s="1">
        <v>59131</v>
      </c>
      <c r="H794" s="1" t="s">
        <v>45</v>
      </c>
      <c r="I794">
        <v>43.331879999999998</v>
      </c>
      <c r="J794">
        <v>11.32122</v>
      </c>
      <c r="K794">
        <v>10</v>
      </c>
      <c r="L794">
        <v>408.4</v>
      </c>
      <c r="M794">
        <v>2187.4603090744799</v>
      </c>
      <c r="N794">
        <v>1</v>
      </c>
      <c r="O794">
        <v>408.4</v>
      </c>
    </row>
    <row r="795" spans="1:15" x14ac:dyDescent="0.25">
      <c r="A795">
        <v>210</v>
      </c>
      <c r="B795" t="s">
        <v>7</v>
      </c>
      <c r="C795" s="1">
        <v>77343</v>
      </c>
      <c r="D795" s="1" t="s">
        <v>43</v>
      </c>
      <c r="E795">
        <v>42.812559999999998</v>
      </c>
      <c r="F795">
        <v>10.31758</v>
      </c>
      <c r="G795" s="1">
        <v>32095</v>
      </c>
      <c r="H795" s="1" t="s">
        <v>43</v>
      </c>
      <c r="I795">
        <v>42.810519999999997</v>
      </c>
      <c r="J795">
        <v>10.30799</v>
      </c>
      <c r="K795">
        <v>3</v>
      </c>
      <c r="L795">
        <v>273.7</v>
      </c>
      <c r="M795">
        <v>291.661374543264</v>
      </c>
      <c r="N795">
        <v>1</v>
      </c>
      <c r="O795">
        <v>273.7</v>
      </c>
    </row>
    <row r="796" spans="1:15" x14ac:dyDescent="0.25">
      <c r="A796">
        <v>210</v>
      </c>
      <c r="B796" t="s">
        <v>7</v>
      </c>
      <c r="C796" s="1">
        <v>85210</v>
      </c>
      <c r="D796" s="1" t="s">
        <v>49</v>
      </c>
      <c r="E796">
        <v>43.928640000000001</v>
      </c>
      <c r="F796">
        <v>10.9284</v>
      </c>
      <c r="G796" s="1">
        <v>77334</v>
      </c>
      <c r="H796" s="1" t="s">
        <v>49</v>
      </c>
      <c r="I796">
        <v>43.939680000000003</v>
      </c>
      <c r="J796">
        <v>10.943490000000001</v>
      </c>
      <c r="K796">
        <v>1</v>
      </c>
      <c r="L796">
        <v>37.000000000000007</v>
      </c>
      <c r="M796">
        <v>850.67900908451998</v>
      </c>
      <c r="N796">
        <v>1</v>
      </c>
      <c r="O796">
        <v>37</v>
      </c>
    </row>
    <row r="797" spans="1:15" x14ac:dyDescent="0.25">
      <c r="A797">
        <v>210</v>
      </c>
      <c r="B797" t="s">
        <v>7</v>
      </c>
      <c r="C797" s="1">
        <v>92197</v>
      </c>
      <c r="D797" s="1" t="s">
        <v>53</v>
      </c>
      <c r="E797">
        <v>42.570590000000003</v>
      </c>
      <c r="F797">
        <v>12.632300000000001</v>
      </c>
      <c r="G797" s="1">
        <v>92198</v>
      </c>
      <c r="H797" s="1" t="s">
        <v>48</v>
      </c>
      <c r="I797">
        <v>42.529159999999997</v>
      </c>
      <c r="J797">
        <v>12.51361</v>
      </c>
      <c r="K797">
        <v>25</v>
      </c>
      <c r="L797">
        <v>475</v>
      </c>
      <c r="M797">
        <v>7218.6190199457833</v>
      </c>
      <c r="N797">
        <v>2</v>
      </c>
      <c r="O797">
        <v>475</v>
      </c>
    </row>
    <row r="798" spans="1:15" x14ac:dyDescent="0.25">
      <c r="A798">
        <v>210</v>
      </c>
      <c r="B798" t="s">
        <v>8</v>
      </c>
      <c r="C798" s="1">
        <v>25290</v>
      </c>
      <c r="D798" s="1" t="s">
        <v>32</v>
      </c>
      <c r="E798">
        <v>43.81803</v>
      </c>
      <c r="F798">
        <v>11.211550000000001</v>
      </c>
      <c r="G798" s="1">
        <v>25239</v>
      </c>
      <c r="H798" s="1" t="s">
        <v>31</v>
      </c>
      <c r="I798">
        <v>43.77281</v>
      </c>
      <c r="J798">
        <v>11.29452</v>
      </c>
      <c r="K798">
        <v>130.00000000000639</v>
      </c>
      <c r="L798">
        <v>4987.1000000000004</v>
      </c>
      <c r="M798">
        <v>18228.835908953999</v>
      </c>
      <c r="N798">
        <v>5</v>
      </c>
      <c r="O798">
        <v>4987.1000000000004</v>
      </c>
    </row>
    <row r="799" spans="1:15" x14ac:dyDescent="0.25">
      <c r="A799">
        <v>210</v>
      </c>
      <c r="B799" t="s">
        <v>8</v>
      </c>
      <c r="C799" s="1">
        <v>25290</v>
      </c>
      <c r="D799" s="1" t="s">
        <v>32</v>
      </c>
      <c r="E799">
        <v>43.81803</v>
      </c>
      <c r="F799">
        <v>11.211550000000001</v>
      </c>
      <c r="G799" s="1">
        <v>25398</v>
      </c>
      <c r="H799" s="1" t="s">
        <v>31</v>
      </c>
      <c r="I799">
        <v>43.769460000000002</v>
      </c>
      <c r="J799">
        <v>11.19172</v>
      </c>
      <c r="K799">
        <v>35</v>
      </c>
      <c r="L799">
        <v>2019.72</v>
      </c>
      <c r="M799">
        <v>11182.78320227965</v>
      </c>
      <c r="N799">
        <v>4</v>
      </c>
      <c r="O799">
        <v>2019.72</v>
      </c>
    </row>
    <row r="800" spans="1:15" x14ac:dyDescent="0.25">
      <c r="A800">
        <v>210</v>
      </c>
      <c r="B800" t="s">
        <v>8</v>
      </c>
      <c r="C800" s="1">
        <v>25290</v>
      </c>
      <c r="D800" s="1" t="s">
        <v>32</v>
      </c>
      <c r="E800">
        <v>43.81803</v>
      </c>
      <c r="F800">
        <v>11.211550000000001</v>
      </c>
      <c r="G800" s="1">
        <v>25400</v>
      </c>
      <c r="H800" s="1" t="s">
        <v>31</v>
      </c>
      <c r="I800">
        <v>43.798690000000001</v>
      </c>
      <c r="J800">
        <v>11.20762</v>
      </c>
      <c r="K800">
        <v>73</v>
      </c>
      <c r="L800">
        <v>6189.9599999999991</v>
      </c>
      <c r="M800">
        <v>10086.622536287879</v>
      </c>
      <c r="N800">
        <v>7</v>
      </c>
      <c r="O800">
        <v>6189.96</v>
      </c>
    </row>
    <row r="801" spans="1:15" x14ac:dyDescent="0.25">
      <c r="A801">
        <v>210</v>
      </c>
      <c r="B801" t="s">
        <v>8</v>
      </c>
      <c r="C801" s="1">
        <v>25290</v>
      </c>
      <c r="D801" s="1" t="s">
        <v>32</v>
      </c>
      <c r="E801">
        <v>43.81803</v>
      </c>
      <c r="F801">
        <v>11.211550000000001</v>
      </c>
      <c r="G801" s="1">
        <v>25401</v>
      </c>
      <c r="H801" s="1" t="s">
        <v>36</v>
      </c>
      <c r="I801">
        <v>43.87838</v>
      </c>
      <c r="J801">
        <v>11.103210000000001</v>
      </c>
      <c r="K801">
        <v>154.99999999998559</v>
      </c>
      <c r="L801">
        <v>2791.2999999999988</v>
      </c>
      <c r="M801">
        <v>18690.63308531417</v>
      </c>
      <c r="N801">
        <v>5</v>
      </c>
      <c r="O801">
        <v>2791.3</v>
      </c>
    </row>
    <row r="802" spans="1:15" x14ac:dyDescent="0.25">
      <c r="A802">
        <v>210</v>
      </c>
      <c r="B802" t="s">
        <v>8</v>
      </c>
      <c r="C802" s="1">
        <v>25290</v>
      </c>
      <c r="D802" s="1" t="s">
        <v>32</v>
      </c>
      <c r="E802">
        <v>43.81803</v>
      </c>
      <c r="F802">
        <v>11.211550000000001</v>
      </c>
      <c r="G802" s="1">
        <v>25417</v>
      </c>
      <c r="H802" s="1" t="s">
        <v>37</v>
      </c>
      <c r="I802">
        <v>43.754040000000003</v>
      </c>
      <c r="J802">
        <v>11.32128</v>
      </c>
      <c r="K802">
        <v>64</v>
      </c>
      <c r="L802">
        <v>973.3</v>
      </c>
      <c r="M802">
        <v>14194.18689443885</v>
      </c>
      <c r="N802">
        <v>2</v>
      </c>
      <c r="O802">
        <v>973.3</v>
      </c>
    </row>
    <row r="803" spans="1:15" x14ac:dyDescent="0.25">
      <c r="A803">
        <v>210</v>
      </c>
      <c r="B803" t="s">
        <v>8</v>
      </c>
      <c r="C803" s="1">
        <v>25398</v>
      </c>
      <c r="D803" s="1" t="s">
        <v>31</v>
      </c>
      <c r="E803">
        <v>43.769460000000002</v>
      </c>
      <c r="F803">
        <v>11.19172</v>
      </c>
      <c r="G803" s="1">
        <v>25239</v>
      </c>
      <c r="H803" s="1" t="s">
        <v>31</v>
      </c>
      <c r="I803">
        <v>43.77281</v>
      </c>
      <c r="J803">
        <v>11.29452</v>
      </c>
      <c r="K803">
        <v>4</v>
      </c>
      <c r="L803">
        <v>134</v>
      </c>
      <c r="M803">
        <v>2916.6137454326399</v>
      </c>
      <c r="N803">
        <v>1</v>
      </c>
      <c r="O803">
        <v>134</v>
      </c>
    </row>
    <row r="804" spans="1:15" x14ac:dyDescent="0.25">
      <c r="A804">
        <v>210</v>
      </c>
      <c r="B804" t="s">
        <v>8</v>
      </c>
      <c r="C804" s="1">
        <v>25398</v>
      </c>
      <c r="D804" s="1" t="s">
        <v>31</v>
      </c>
      <c r="E804">
        <v>43.769460000000002</v>
      </c>
      <c r="F804">
        <v>11.19172</v>
      </c>
      <c r="G804" s="1">
        <v>25290</v>
      </c>
      <c r="H804" s="1" t="s">
        <v>32</v>
      </c>
      <c r="I804">
        <v>43.81803</v>
      </c>
      <c r="J804">
        <v>11.211550000000001</v>
      </c>
      <c r="K804">
        <v>13</v>
      </c>
      <c r="L804">
        <v>38</v>
      </c>
      <c r="M804">
        <v>4377.3511296034876</v>
      </c>
      <c r="N804">
        <v>1</v>
      </c>
      <c r="O804">
        <v>38</v>
      </c>
    </row>
    <row r="805" spans="1:15" x14ac:dyDescent="0.25">
      <c r="A805">
        <v>210</v>
      </c>
      <c r="B805" t="s">
        <v>8</v>
      </c>
      <c r="C805" s="1">
        <v>25400</v>
      </c>
      <c r="D805" s="1" t="s">
        <v>31</v>
      </c>
      <c r="E805">
        <v>43.798690000000001</v>
      </c>
      <c r="F805">
        <v>11.20762</v>
      </c>
      <c r="G805" s="1">
        <v>25290</v>
      </c>
      <c r="H805" s="1" t="s">
        <v>32</v>
      </c>
      <c r="I805">
        <v>43.81803</v>
      </c>
      <c r="J805">
        <v>11.211550000000001</v>
      </c>
      <c r="K805">
        <v>61</v>
      </c>
      <c r="L805">
        <v>159.91999999999999</v>
      </c>
      <c r="M805">
        <v>2673.5625999799199</v>
      </c>
      <c r="N805">
        <v>2</v>
      </c>
      <c r="O805">
        <v>159.91999999999999</v>
      </c>
    </row>
    <row r="806" spans="1:15" x14ac:dyDescent="0.25">
      <c r="A806">
        <v>210</v>
      </c>
      <c r="B806" t="s">
        <v>8</v>
      </c>
      <c r="C806" s="1">
        <v>25400</v>
      </c>
      <c r="D806" s="1" t="s">
        <v>31</v>
      </c>
      <c r="E806">
        <v>43.798690000000001</v>
      </c>
      <c r="F806">
        <v>11.20762</v>
      </c>
      <c r="G806" s="1">
        <v>25398</v>
      </c>
      <c r="H806" s="1" t="s">
        <v>31</v>
      </c>
      <c r="I806">
        <v>43.769460000000002</v>
      </c>
      <c r="J806">
        <v>11.19172</v>
      </c>
      <c r="K806">
        <v>13</v>
      </c>
      <c r="L806">
        <v>961.4</v>
      </c>
      <c r="M806">
        <v>2989.529089068456</v>
      </c>
      <c r="N806">
        <v>2</v>
      </c>
      <c r="O806">
        <v>961.4</v>
      </c>
    </row>
    <row r="807" spans="1:15" x14ac:dyDescent="0.25">
      <c r="A807">
        <v>210</v>
      </c>
      <c r="B807" t="s">
        <v>8</v>
      </c>
      <c r="C807" s="1">
        <v>25401</v>
      </c>
      <c r="D807" s="1" t="s">
        <v>36</v>
      </c>
      <c r="E807">
        <v>43.87838</v>
      </c>
      <c r="F807">
        <v>11.103210000000001</v>
      </c>
      <c r="G807" s="1">
        <v>25290</v>
      </c>
      <c r="H807" s="1" t="s">
        <v>32</v>
      </c>
      <c r="I807">
        <v>43.81803</v>
      </c>
      <c r="J807">
        <v>11.211550000000001</v>
      </c>
      <c r="K807">
        <v>18</v>
      </c>
      <c r="L807">
        <v>58.8</v>
      </c>
      <c r="M807">
        <v>3767.2927545171601</v>
      </c>
      <c r="N807">
        <v>1</v>
      </c>
      <c r="O807">
        <v>58.8</v>
      </c>
    </row>
    <row r="808" spans="1:15" x14ac:dyDescent="0.25">
      <c r="A808">
        <v>210</v>
      </c>
      <c r="B808" t="s">
        <v>8</v>
      </c>
      <c r="C808" s="1">
        <v>25401</v>
      </c>
      <c r="D808" s="1" t="s">
        <v>36</v>
      </c>
      <c r="E808">
        <v>43.87838</v>
      </c>
      <c r="F808">
        <v>11.103210000000001</v>
      </c>
      <c r="G808" s="1">
        <v>25433</v>
      </c>
      <c r="H808" s="1" t="s">
        <v>44</v>
      </c>
      <c r="I808">
        <v>43.923850000000002</v>
      </c>
      <c r="J808">
        <v>11.03511</v>
      </c>
      <c r="K808">
        <v>18</v>
      </c>
      <c r="L808">
        <v>792</v>
      </c>
      <c r="M808">
        <v>2916.6137454326399</v>
      </c>
      <c r="N808">
        <v>1</v>
      </c>
      <c r="O808">
        <v>792</v>
      </c>
    </row>
    <row r="809" spans="1:15" x14ac:dyDescent="0.25">
      <c r="A809">
        <v>210</v>
      </c>
      <c r="B809" t="s">
        <v>8</v>
      </c>
      <c r="C809" s="1">
        <v>25421</v>
      </c>
      <c r="D809" s="1" t="s">
        <v>41</v>
      </c>
      <c r="E809">
        <v>43.619419999999998</v>
      </c>
      <c r="F809">
        <v>11.47508</v>
      </c>
      <c r="G809" s="1">
        <v>4142</v>
      </c>
      <c r="H809" s="1" t="s">
        <v>42</v>
      </c>
      <c r="I809">
        <v>43.529310000000002</v>
      </c>
      <c r="J809">
        <v>11.56737</v>
      </c>
      <c r="K809">
        <v>14</v>
      </c>
      <c r="L809">
        <v>86.4</v>
      </c>
      <c r="M809">
        <v>3645.7671817907999</v>
      </c>
      <c r="N809">
        <v>1</v>
      </c>
      <c r="O809">
        <v>86.4</v>
      </c>
    </row>
    <row r="810" spans="1:15" x14ac:dyDescent="0.25">
      <c r="A810">
        <v>210</v>
      </c>
      <c r="B810" t="s">
        <v>8</v>
      </c>
      <c r="C810" s="1">
        <v>25421</v>
      </c>
      <c r="D810" s="1" t="s">
        <v>41</v>
      </c>
      <c r="E810">
        <v>43.619419999999998</v>
      </c>
      <c r="F810">
        <v>11.47508</v>
      </c>
      <c r="G810" s="1">
        <v>4144</v>
      </c>
      <c r="H810" s="1" t="s">
        <v>38</v>
      </c>
      <c r="I810">
        <v>43.568049999999999</v>
      </c>
      <c r="J810">
        <v>11.529260000000001</v>
      </c>
      <c r="K810">
        <v>5</v>
      </c>
      <c r="L810">
        <v>194.4</v>
      </c>
      <c r="M810">
        <v>2187.4603090744799</v>
      </c>
      <c r="N810">
        <v>1</v>
      </c>
      <c r="O810">
        <v>194.4</v>
      </c>
    </row>
    <row r="811" spans="1:15" x14ac:dyDescent="0.25">
      <c r="A811">
        <v>210</v>
      </c>
      <c r="B811" t="s">
        <v>8</v>
      </c>
      <c r="C811" s="1">
        <v>32094</v>
      </c>
      <c r="D811" s="1" t="s">
        <v>54</v>
      </c>
      <c r="E811">
        <v>43.304879999999997</v>
      </c>
      <c r="F811">
        <v>10.5182</v>
      </c>
      <c r="G811" s="1">
        <v>32098</v>
      </c>
      <c r="H811" s="1" t="s">
        <v>50</v>
      </c>
      <c r="I811">
        <v>43.393940000000001</v>
      </c>
      <c r="J811">
        <v>10.43547</v>
      </c>
      <c r="K811">
        <v>7</v>
      </c>
      <c r="L811">
        <v>70.8</v>
      </c>
      <c r="M811">
        <v>2189.8908205290072</v>
      </c>
      <c r="N811">
        <v>1</v>
      </c>
      <c r="O811">
        <v>70.8</v>
      </c>
    </row>
    <row r="812" spans="1:15" x14ac:dyDescent="0.25">
      <c r="A812">
        <v>210</v>
      </c>
      <c r="B812" t="s">
        <v>8</v>
      </c>
      <c r="C812" s="1">
        <v>33212</v>
      </c>
      <c r="D812" s="1" t="s">
        <v>46</v>
      </c>
      <c r="E812">
        <v>43.844110000000001</v>
      </c>
      <c r="F812">
        <v>10.525460000000001</v>
      </c>
      <c r="G812" s="1">
        <v>77150</v>
      </c>
      <c r="H812" s="1" t="s">
        <v>46</v>
      </c>
      <c r="I812">
        <v>43.860230000000001</v>
      </c>
      <c r="J812">
        <v>10.51596</v>
      </c>
      <c r="K812">
        <v>2</v>
      </c>
      <c r="L812">
        <v>153</v>
      </c>
      <c r="M812">
        <v>1069.4250399919681</v>
      </c>
      <c r="N812">
        <v>1</v>
      </c>
      <c r="O812">
        <v>153</v>
      </c>
    </row>
    <row r="813" spans="1:15" x14ac:dyDescent="0.25">
      <c r="A813">
        <v>210</v>
      </c>
      <c r="B813" t="s">
        <v>8</v>
      </c>
      <c r="C813" s="1">
        <v>33214</v>
      </c>
      <c r="D813" s="1" t="s">
        <v>51</v>
      </c>
      <c r="E813">
        <v>43.868270000000003</v>
      </c>
      <c r="F813">
        <v>10.252879999999999</v>
      </c>
      <c r="G813" s="1">
        <v>33220</v>
      </c>
      <c r="H813" s="1" t="s">
        <v>39</v>
      </c>
      <c r="I813">
        <v>43.894159999999999</v>
      </c>
      <c r="J813">
        <v>10.22714</v>
      </c>
      <c r="K813">
        <v>3</v>
      </c>
      <c r="L813">
        <v>210.7</v>
      </c>
      <c r="M813">
        <v>4642.2768781469513</v>
      </c>
      <c r="N813">
        <v>4</v>
      </c>
      <c r="O813">
        <v>210.7</v>
      </c>
    </row>
    <row r="814" spans="1:15" x14ac:dyDescent="0.25">
      <c r="A814">
        <v>210</v>
      </c>
      <c r="B814" t="s">
        <v>8</v>
      </c>
      <c r="C814" s="1">
        <v>33218</v>
      </c>
      <c r="D814" s="1" t="s">
        <v>52</v>
      </c>
      <c r="E814">
        <v>44.033050000000003</v>
      </c>
      <c r="F814">
        <v>10.50367</v>
      </c>
      <c r="G814" s="1">
        <v>33219</v>
      </c>
      <c r="H814" s="1" t="s">
        <v>47</v>
      </c>
      <c r="I814">
        <v>44.110500000000002</v>
      </c>
      <c r="J814">
        <v>10.41159</v>
      </c>
      <c r="K814">
        <v>24</v>
      </c>
      <c r="L814">
        <v>358.5</v>
      </c>
      <c r="M814">
        <v>4131.8694726962403</v>
      </c>
      <c r="N814">
        <v>1</v>
      </c>
      <c r="O814">
        <v>358.5</v>
      </c>
    </row>
    <row r="815" spans="1:15" x14ac:dyDescent="0.25">
      <c r="A815">
        <v>210</v>
      </c>
      <c r="B815" t="s">
        <v>8</v>
      </c>
      <c r="C815" s="1">
        <v>33220</v>
      </c>
      <c r="D815" s="1" t="s">
        <v>39</v>
      </c>
      <c r="E815">
        <v>43.894159999999999</v>
      </c>
      <c r="F815">
        <v>10.22714</v>
      </c>
      <c r="G815" s="1">
        <v>33221</v>
      </c>
      <c r="H815" s="1" t="s">
        <v>40</v>
      </c>
      <c r="I815">
        <v>43.956339999999997</v>
      </c>
      <c r="J815">
        <v>10.22996</v>
      </c>
      <c r="K815">
        <v>5</v>
      </c>
      <c r="L815">
        <v>168.3</v>
      </c>
      <c r="M815">
        <v>10164.398902832751</v>
      </c>
      <c r="N815">
        <v>4</v>
      </c>
      <c r="O815">
        <v>168.3</v>
      </c>
    </row>
    <row r="816" spans="1:15" x14ac:dyDescent="0.25">
      <c r="A816">
        <v>210</v>
      </c>
      <c r="B816" t="s">
        <v>8</v>
      </c>
      <c r="C816" s="1">
        <v>4144</v>
      </c>
      <c r="D816" s="1" t="s">
        <v>38</v>
      </c>
      <c r="E816">
        <v>43.568049999999999</v>
      </c>
      <c r="F816">
        <v>11.529260000000001</v>
      </c>
      <c r="G816" s="1">
        <v>25421</v>
      </c>
      <c r="H816" s="1" t="s">
        <v>41</v>
      </c>
      <c r="I816">
        <v>43.619419999999998</v>
      </c>
      <c r="J816">
        <v>11.47508</v>
      </c>
      <c r="K816">
        <v>2</v>
      </c>
      <c r="L816">
        <v>82.6</v>
      </c>
      <c r="M816">
        <v>6691.1980343133819</v>
      </c>
      <c r="N816">
        <v>1</v>
      </c>
      <c r="O816">
        <v>82.6</v>
      </c>
    </row>
    <row r="817" spans="1:15" x14ac:dyDescent="0.25">
      <c r="A817">
        <v>210</v>
      </c>
      <c r="B817" t="s">
        <v>8</v>
      </c>
      <c r="C817" s="1">
        <v>4144</v>
      </c>
      <c r="D817" s="1" t="s">
        <v>38</v>
      </c>
      <c r="E817">
        <v>43.568049999999999</v>
      </c>
      <c r="F817">
        <v>11.529260000000001</v>
      </c>
      <c r="G817" s="1">
        <v>4142</v>
      </c>
      <c r="H817" s="1" t="s">
        <v>42</v>
      </c>
      <c r="I817">
        <v>43.529310000000002</v>
      </c>
      <c r="J817">
        <v>11.56737</v>
      </c>
      <c r="K817">
        <v>4</v>
      </c>
      <c r="L817">
        <v>244.6</v>
      </c>
      <c r="M817">
        <v>1458.30687271632</v>
      </c>
      <c r="N817">
        <v>1</v>
      </c>
      <c r="O817">
        <v>244.6</v>
      </c>
    </row>
    <row r="818" spans="1:15" x14ac:dyDescent="0.25">
      <c r="A818">
        <v>210</v>
      </c>
      <c r="B818" t="s">
        <v>8</v>
      </c>
      <c r="C818" s="1">
        <v>46445</v>
      </c>
      <c r="D818" s="1" t="s">
        <v>35</v>
      </c>
      <c r="E818">
        <v>43.10801</v>
      </c>
      <c r="F818">
        <v>12.377940000000001</v>
      </c>
      <c r="G818" s="1">
        <v>46468</v>
      </c>
      <c r="H818" s="1" t="s">
        <v>33</v>
      </c>
      <c r="I818">
        <v>43.116489999999999</v>
      </c>
      <c r="J818">
        <v>12.45126</v>
      </c>
      <c r="K818">
        <v>7</v>
      </c>
      <c r="L818">
        <v>369.4</v>
      </c>
      <c r="M818">
        <v>9381.7742144749918</v>
      </c>
      <c r="N818">
        <v>3</v>
      </c>
      <c r="O818">
        <v>369.4</v>
      </c>
    </row>
    <row r="819" spans="1:15" x14ac:dyDescent="0.25">
      <c r="A819">
        <v>210</v>
      </c>
      <c r="B819" t="s">
        <v>8</v>
      </c>
      <c r="C819" s="1">
        <v>46445</v>
      </c>
      <c r="D819" s="1" t="s">
        <v>35</v>
      </c>
      <c r="E819">
        <v>43.10801</v>
      </c>
      <c r="F819">
        <v>12.377940000000001</v>
      </c>
      <c r="G819" s="1">
        <v>46471</v>
      </c>
      <c r="H819" s="1" t="s">
        <v>34</v>
      </c>
      <c r="I819">
        <v>43.10031</v>
      </c>
      <c r="J819">
        <v>12.318519999999999</v>
      </c>
      <c r="K819">
        <v>11</v>
      </c>
      <c r="L819">
        <v>377</v>
      </c>
      <c r="M819">
        <v>5420.0405435956563</v>
      </c>
      <c r="N819">
        <v>3</v>
      </c>
      <c r="O819">
        <v>377</v>
      </c>
    </row>
    <row r="820" spans="1:15" x14ac:dyDescent="0.25">
      <c r="A820">
        <v>210</v>
      </c>
      <c r="B820" t="s">
        <v>8</v>
      </c>
      <c r="C820" s="1">
        <v>46471</v>
      </c>
      <c r="D820" s="1" t="s">
        <v>34</v>
      </c>
      <c r="E820">
        <v>43.10031</v>
      </c>
      <c r="F820">
        <v>12.318519999999999</v>
      </c>
      <c r="G820" s="1">
        <v>46445</v>
      </c>
      <c r="H820" s="1" t="s">
        <v>35</v>
      </c>
      <c r="I820">
        <v>43.10801</v>
      </c>
      <c r="J820">
        <v>12.377940000000001</v>
      </c>
      <c r="K820">
        <v>11</v>
      </c>
      <c r="L820">
        <v>678.88</v>
      </c>
      <c r="M820">
        <v>1701.35801816904</v>
      </c>
      <c r="N820">
        <v>1</v>
      </c>
      <c r="O820">
        <v>678.88</v>
      </c>
    </row>
    <row r="821" spans="1:15" x14ac:dyDescent="0.25">
      <c r="A821">
        <v>210</v>
      </c>
      <c r="B821" t="s">
        <v>8</v>
      </c>
      <c r="C821" s="1">
        <v>59131</v>
      </c>
      <c r="D821" s="1" t="s">
        <v>45</v>
      </c>
      <c r="E821">
        <v>43.331879999999998</v>
      </c>
      <c r="F821">
        <v>11.32122</v>
      </c>
      <c r="G821" s="1">
        <v>59157</v>
      </c>
      <c r="H821" s="1" t="s">
        <v>45</v>
      </c>
      <c r="I821">
        <v>43.29034</v>
      </c>
      <c r="J821">
        <v>11.33822</v>
      </c>
      <c r="K821">
        <v>20</v>
      </c>
      <c r="L821">
        <v>1303.42</v>
      </c>
      <c r="M821">
        <v>4.8610229090543999</v>
      </c>
      <c r="N821">
        <v>2</v>
      </c>
      <c r="O821">
        <v>1303.42</v>
      </c>
    </row>
    <row r="822" spans="1:15" x14ac:dyDescent="0.25">
      <c r="A822">
        <v>210</v>
      </c>
      <c r="B822" t="s">
        <v>8</v>
      </c>
      <c r="C822" s="1">
        <v>59157</v>
      </c>
      <c r="D822" s="1" t="s">
        <v>45</v>
      </c>
      <c r="E822">
        <v>43.29034</v>
      </c>
      <c r="F822">
        <v>11.33822</v>
      </c>
      <c r="G822" s="1">
        <v>59131</v>
      </c>
      <c r="H822" s="1" t="s">
        <v>45</v>
      </c>
      <c r="I822">
        <v>43.331879999999998</v>
      </c>
      <c r="J822">
        <v>11.32122</v>
      </c>
      <c r="K822">
        <v>20</v>
      </c>
      <c r="L822">
        <v>408.4</v>
      </c>
      <c r="M822">
        <v>2187.4603090744799</v>
      </c>
      <c r="N822">
        <v>1</v>
      </c>
      <c r="O822">
        <v>408.4</v>
      </c>
    </row>
    <row r="823" spans="1:15" x14ac:dyDescent="0.25">
      <c r="A823">
        <v>210</v>
      </c>
      <c r="B823" t="s">
        <v>8</v>
      </c>
      <c r="C823" s="1">
        <v>77343</v>
      </c>
      <c r="D823" s="1" t="s">
        <v>43</v>
      </c>
      <c r="E823">
        <v>42.812559999999998</v>
      </c>
      <c r="F823">
        <v>10.31758</v>
      </c>
      <c r="G823" s="1">
        <v>32095</v>
      </c>
      <c r="H823" s="1" t="s">
        <v>43</v>
      </c>
      <c r="I823">
        <v>42.810519999999997</v>
      </c>
      <c r="J823">
        <v>10.30799</v>
      </c>
      <c r="K823">
        <v>3</v>
      </c>
      <c r="L823">
        <v>273.7</v>
      </c>
      <c r="M823">
        <v>291.661374543264</v>
      </c>
      <c r="N823">
        <v>1</v>
      </c>
      <c r="O823">
        <v>273.7</v>
      </c>
    </row>
    <row r="824" spans="1:15" x14ac:dyDescent="0.25">
      <c r="A824">
        <v>210</v>
      </c>
      <c r="B824" t="s">
        <v>8</v>
      </c>
      <c r="C824" s="1">
        <v>85210</v>
      </c>
      <c r="D824" s="1" t="s">
        <v>49</v>
      </c>
      <c r="E824">
        <v>43.928640000000001</v>
      </c>
      <c r="F824">
        <v>10.9284</v>
      </c>
      <c r="G824" s="1">
        <v>77334</v>
      </c>
      <c r="H824" s="1" t="s">
        <v>49</v>
      </c>
      <c r="I824">
        <v>43.939680000000003</v>
      </c>
      <c r="J824">
        <v>10.943490000000001</v>
      </c>
      <c r="K824">
        <v>1</v>
      </c>
      <c r="L824">
        <v>37</v>
      </c>
      <c r="M824">
        <v>850.67900908451998</v>
      </c>
      <c r="N824">
        <v>1</v>
      </c>
      <c r="O824">
        <v>37</v>
      </c>
    </row>
    <row r="825" spans="1:15" x14ac:dyDescent="0.25">
      <c r="A825">
        <v>210</v>
      </c>
      <c r="B825" t="s">
        <v>8</v>
      </c>
      <c r="C825" s="1">
        <v>92197</v>
      </c>
      <c r="D825" s="1" t="s">
        <v>53</v>
      </c>
      <c r="E825">
        <v>42.570590000000003</v>
      </c>
      <c r="F825">
        <v>12.632300000000001</v>
      </c>
      <c r="G825" s="1">
        <v>92198</v>
      </c>
      <c r="H825" s="1" t="s">
        <v>48</v>
      </c>
      <c r="I825">
        <v>42.529159999999997</v>
      </c>
      <c r="J825">
        <v>12.51361</v>
      </c>
      <c r="K825">
        <v>25</v>
      </c>
      <c r="L825">
        <v>475</v>
      </c>
      <c r="M825">
        <v>7218.6190199457833</v>
      </c>
      <c r="N825">
        <v>2</v>
      </c>
      <c r="O825">
        <v>475</v>
      </c>
    </row>
    <row r="826" spans="1:15" x14ac:dyDescent="0.25">
      <c r="A826">
        <v>210</v>
      </c>
      <c r="B826" t="s">
        <v>9</v>
      </c>
      <c r="C826" s="1">
        <v>25290</v>
      </c>
      <c r="D826" s="1" t="s">
        <v>32</v>
      </c>
      <c r="E826">
        <v>43.81803</v>
      </c>
      <c r="F826">
        <v>11.211550000000001</v>
      </c>
      <c r="G826" s="1">
        <v>25239</v>
      </c>
      <c r="H826" s="1" t="s">
        <v>31</v>
      </c>
      <c r="I826">
        <v>43.77281</v>
      </c>
      <c r="J826">
        <v>11.29452</v>
      </c>
      <c r="K826">
        <v>130.00000000000639</v>
      </c>
      <c r="L826">
        <v>4987.1000000000004</v>
      </c>
      <c r="M826">
        <v>18228.835908953999</v>
      </c>
      <c r="N826">
        <v>5</v>
      </c>
      <c r="O826">
        <v>4987.1000000000004</v>
      </c>
    </row>
    <row r="827" spans="1:15" x14ac:dyDescent="0.25">
      <c r="A827">
        <v>210</v>
      </c>
      <c r="B827" t="s">
        <v>9</v>
      </c>
      <c r="C827" s="1">
        <v>25290</v>
      </c>
      <c r="D827" s="1" t="s">
        <v>32</v>
      </c>
      <c r="E827">
        <v>43.81803</v>
      </c>
      <c r="F827">
        <v>11.211550000000001</v>
      </c>
      <c r="G827" s="1">
        <v>25398</v>
      </c>
      <c r="H827" s="1" t="s">
        <v>31</v>
      </c>
      <c r="I827">
        <v>43.769460000000002</v>
      </c>
      <c r="J827">
        <v>11.19172</v>
      </c>
      <c r="K827">
        <v>35</v>
      </c>
      <c r="L827">
        <v>2019.72</v>
      </c>
      <c r="M827">
        <v>11182.78320227965</v>
      </c>
      <c r="N827">
        <v>4</v>
      </c>
      <c r="O827">
        <v>2019.72</v>
      </c>
    </row>
    <row r="828" spans="1:15" x14ac:dyDescent="0.25">
      <c r="A828">
        <v>210</v>
      </c>
      <c r="B828" t="s">
        <v>9</v>
      </c>
      <c r="C828" s="1">
        <v>25290</v>
      </c>
      <c r="D828" s="1" t="s">
        <v>32</v>
      </c>
      <c r="E828">
        <v>43.81803</v>
      </c>
      <c r="F828">
        <v>11.211550000000001</v>
      </c>
      <c r="G828" s="1">
        <v>25400</v>
      </c>
      <c r="H828" s="1" t="s">
        <v>31</v>
      </c>
      <c r="I828">
        <v>43.798690000000001</v>
      </c>
      <c r="J828">
        <v>11.20762</v>
      </c>
      <c r="K828">
        <v>73</v>
      </c>
      <c r="L828">
        <v>6189.9599999999991</v>
      </c>
      <c r="M828">
        <v>10086.622536287879</v>
      </c>
      <c r="N828">
        <v>7</v>
      </c>
      <c r="O828">
        <v>6189.96</v>
      </c>
    </row>
    <row r="829" spans="1:15" x14ac:dyDescent="0.25">
      <c r="A829">
        <v>210</v>
      </c>
      <c r="B829" t="s">
        <v>9</v>
      </c>
      <c r="C829" s="1">
        <v>25290</v>
      </c>
      <c r="D829" s="1" t="s">
        <v>32</v>
      </c>
      <c r="E829">
        <v>43.81803</v>
      </c>
      <c r="F829">
        <v>11.211550000000001</v>
      </c>
      <c r="G829" s="1">
        <v>25401</v>
      </c>
      <c r="H829" s="1" t="s">
        <v>36</v>
      </c>
      <c r="I829">
        <v>43.87838</v>
      </c>
      <c r="J829">
        <v>11.103210000000001</v>
      </c>
      <c r="K829">
        <v>154.99999999998559</v>
      </c>
      <c r="L829">
        <v>2791.2999999999988</v>
      </c>
      <c r="M829">
        <v>18690.63308531417</v>
      </c>
      <c r="N829">
        <v>5</v>
      </c>
      <c r="O829">
        <v>2791.3</v>
      </c>
    </row>
    <row r="830" spans="1:15" x14ac:dyDescent="0.25">
      <c r="A830">
        <v>210</v>
      </c>
      <c r="B830" t="s">
        <v>9</v>
      </c>
      <c r="C830" s="1">
        <v>25290</v>
      </c>
      <c r="D830" s="1" t="s">
        <v>32</v>
      </c>
      <c r="E830">
        <v>43.81803</v>
      </c>
      <c r="F830">
        <v>11.211550000000001</v>
      </c>
      <c r="G830" s="1">
        <v>25417</v>
      </c>
      <c r="H830" s="1" t="s">
        <v>37</v>
      </c>
      <c r="I830">
        <v>43.754040000000003</v>
      </c>
      <c r="J830">
        <v>11.32128</v>
      </c>
      <c r="K830">
        <v>64</v>
      </c>
      <c r="L830">
        <v>973.3</v>
      </c>
      <c r="M830">
        <v>14194.18689443885</v>
      </c>
      <c r="N830">
        <v>2</v>
      </c>
      <c r="O830">
        <v>973.3</v>
      </c>
    </row>
    <row r="831" spans="1:15" x14ac:dyDescent="0.25">
      <c r="A831">
        <v>210</v>
      </c>
      <c r="B831" t="s">
        <v>9</v>
      </c>
      <c r="C831" s="1">
        <v>25398</v>
      </c>
      <c r="D831" s="1" t="s">
        <v>31</v>
      </c>
      <c r="E831">
        <v>43.769460000000002</v>
      </c>
      <c r="F831">
        <v>11.19172</v>
      </c>
      <c r="G831" s="1">
        <v>25239</v>
      </c>
      <c r="H831" s="1" t="s">
        <v>31</v>
      </c>
      <c r="I831">
        <v>43.77281</v>
      </c>
      <c r="J831">
        <v>11.29452</v>
      </c>
      <c r="K831">
        <v>4</v>
      </c>
      <c r="L831">
        <v>134</v>
      </c>
      <c r="M831">
        <v>2916.6137454326399</v>
      </c>
      <c r="N831">
        <v>1</v>
      </c>
      <c r="O831">
        <v>134</v>
      </c>
    </row>
    <row r="832" spans="1:15" x14ac:dyDescent="0.25">
      <c r="A832">
        <v>210</v>
      </c>
      <c r="B832" t="s">
        <v>9</v>
      </c>
      <c r="C832" s="1">
        <v>25398</v>
      </c>
      <c r="D832" s="1" t="s">
        <v>31</v>
      </c>
      <c r="E832">
        <v>43.769460000000002</v>
      </c>
      <c r="F832">
        <v>11.19172</v>
      </c>
      <c r="G832" s="1">
        <v>25290</v>
      </c>
      <c r="H832" s="1" t="s">
        <v>32</v>
      </c>
      <c r="I832">
        <v>43.81803</v>
      </c>
      <c r="J832">
        <v>11.211550000000001</v>
      </c>
      <c r="K832">
        <v>13</v>
      </c>
      <c r="L832">
        <v>38</v>
      </c>
      <c r="M832">
        <v>4377.3511296034876</v>
      </c>
      <c r="N832">
        <v>1</v>
      </c>
      <c r="O832">
        <v>38</v>
      </c>
    </row>
    <row r="833" spans="1:15" x14ac:dyDescent="0.25">
      <c r="A833">
        <v>210</v>
      </c>
      <c r="B833" t="s">
        <v>9</v>
      </c>
      <c r="C833" s="1">
        <v>25400</v>
      </c>
      <c r="D833" s="1" t="s">
        <v>31</v>
      </c>
      <c r="E833">
        <v>43.798690000000001</v>
      </c>
      <c r="F833">
        <v>11.20762</v>
      </c>
      <c r="G833" s="1">
        <v>25290</v>
      </c>
      <c r="H833" s="1" t="s">
        <v>32</v>
      </c>
      <c r="I833">
        <v>43.81803</v>
      </c>
      <c r="J833">
        <v>11.211550000000001</v>
      </c>
      <c r="K833">
        <v>61</v>
      </c>
      <c r="L833">
        <v>159.91999999999999</v>
      </c>
      <c r="M833">
        <v>2673.5625999799199</v>
      </c>
      <c r="N833">
        <v>2</v>
      </c>
      <c r="O833">
        <v>159.91999999999999</v>
      </c>
    </row>
    <row r="834" spans="1:15" x14ac:dyDescent="0.25">
      <c r="A834">
        <v>210</v>
      </c>
      <c r="B834" t="s">
        <v>9</v>
      </c>
      <c r="C834" s="1">
        <v>25400</v>
      </c>
      <c r="D834" s="1" t="s">
        <v>31</v>
      </c>
      <c r="E834">
        <v>43.798690000000001</v>
      </c>
      <c r="F834">
        <v>11.20762</v>
      </c>
      <c r="G834" s="1">
        <v>25398</v>
      </c>
      <c r="H834" s="1" t="s">
        <v>31</v>
      </c>
      <c r="I834">
        <v>43.769460000000002</v>
      </c>
      <c r="J834">
        <v>11.19172</v>
      </c>
      <c r="K834">
        <v>13</v>
      </c>
      <c r="L834">
        <v>961.4</v>
      </c>
      <c r="M834">
        <v>2989.529089068456</v>
      </c>
      <c r="N834">
        <v>2</v>
      </c>
      <c r="O834">
        <v>961.4</v>
      </c>
    </row>
    <row r="835" spans="1:15" x14ac:dyDescent="0.25">
      <c r="A835">
        <v>210</v>
      </c>
      <c r="B835" t="s">
        <v>9</v>
      </c>
      <c r="C835" s="1">
        <v>25401</v>
      </c>
      <c r="D835" s="1" t="s">
        <v>36</v>
      </c>
      <c r="E835">
        <v>43.87838</v>
      </c>
      <c r="F835">
        <v>11.103210000000001</v>
      </c>
      <c r="G835" s="1">
        <v>25290</v>
      </c>
      <c r="H835" s="1" t="s">
        <v>32</v>
      </c>
      <c r="I835">
        <v>43.81803</v>
      </c>
      <c r="J835">
        <v>11.211550000000001</v>
      </c>
      <c r="K835">
        <v>18</v>
      </c>
      <c r="L835">
        <v>58.8</v>
      </c>
      <c r="M835">
        <v>3767.2927545171601</v>
      </c>
      <c r="N835">
        <v>1</v>
      </c>
      <c r="O835">
        <v>58.8</v>
      </c>
    </row>
    <row r="836" spans="1:15" x14ac:dyDescent="0.25">
      <c r="A836">
        <v>210</v>
      </c>
      <c r="B836" t="s">
        <v>9</v>
      </c>
      <c r="C836" s="1">
        <v>25401</v>
      </c>
      <c r="D836" s="1" t="s">
        <v>36</v>
      </c>
      <c r="E836">
        <v>43.87838</v>
      </c>
      <c r="F836">
        <v>11.103210000000001</v>
      </c>
      <c r="G836" s="1">
        <v>25433</v>
      </c>
      <c r="H836" s="1" t="s">
        <v>44</v>
      </c>
      <c r="I836">
        <v>43.923850000000002</v>
      </c>
      <c r="J836">
        <v>11.03511</v>
      </c>
      <c r="K836">
        <v>18</v>
      </c>
      <c r="L836">
        <v>792</v>
      </c>
      <c r="M836">
        <v>2916.6137454326399</v>
      </c>
      <c r="N836">
        <v>1</v>
      </c>
      <c r="O836">
        <v>792</v>
      </c>
    </row>
    <row r="837" spans="1:15" x14ac:dyDescent="0.25">
      <c r="A837">
        <v>210</v>
      </c>
      <c r="B837" t="s">
        <v>9</v>
      </c>
      <c r="C837" s="1">
        <v>25421</v>
      </c>
      <c r="D837" s="1" t="s">
        <v>41</v>
      </c>
      <c r="E837">
        <v>43.619419999999998</v>
      </c>
      <c r="F837">
        <v>11.47508</v>
      </c>
      <c r="G837" s="1">
        <v>4142</v>
      </c>
      <c r="H837" s="1" t="s">
        <v>42</v>
      </c>
      <c r="I837">
        <v>43.529310000000002</v>
      </c>
      <c r="J837">
        <v>11.56737</v>
      </c>
      <c r="K837">
        <v>14</v>
      </c>
      <c r="L837">
        <v>86.4</v>
      </c>
      <c r="M837">
        <v>3645.7671817907999</v>
      </c>
      <c r="N837">
        <v>1</v>
      </c>
      <c r="O837">
        <v>86.4</v>
      </c>
    </row>
    <row r="838" spans="1:15" x14ac:dyDescent="0.25">
      <c r="A838">
        <v>210</v>
      </c>
      <c r="B838" t="s">
        <v>9</v>
      </c>
      <c r="C838" s="1">
        <v>25421</v>
      </c>
      <c r="D838" s="1" t="s">
        <v>41</v>
      </c>
      <c r="E838">
        <v>43.619419999999998</v>
      </c>
      <c r="F838">
        <v>11.47508</v>
      </c>
      <c r="G838" s="1">
        <v>4144</v>
      </c>
      <c r="H838" s="1" t="s">
        <v>38</v>
      </c>
      <c r="I838">
        <v>43.568049999999999</v>
      </c>
      <c r="J838">
        <v>11.529260000000001</v>
      </c>
      <c r="K838">
        <v>5</v>
      </c>
      <c r="L838">
        <v>194.4</v>
      </c>
      <c r="M838">
        <v>2187.4603090744799</v>
      </c>
      <c r="N838">
        <v>1</v>
      </c>
      <c r="O838">
        <v>194.4</v>
      </c>
    </row>
    <row r="839" spans="1:15" x14ac:dyDescent="0.25">
      <c r="A839">
        <v>210</v>
      </c>
      <c r="B839" t="s">
        <v>9</v>
      </c>
      <c r="C839" s="1">
        <v>32094</v>
      </c>
      <c r="D839" s="1" t="s">
        <v>54</v>
      </c>
      <c r="E839">
        <v>43.304879999999997</v>
      </c>
      <c r="F839">
        <v>10.5182</v>
      </c>
      <c r="G839" s="1">
        <v>32098</v>
      </c>
      <c r="H839" s="1" t="s">
        <v>50</v>
      </c>
      <c r="I839">
        <v>43.393940000000001</v>
      </c>
      <c r="J839">
        <v>10.43547</v>
      </c>
      <c r="K839">
        <v>7</v>
      </c>
      <c r="L839">
        <v>70.8</v>
      </c>
      <c r="M839">
        <v>2189.8908205290072</v>
      </c>
      <c r="N839">
        <v>1</v>
      </c>
      <c r="O839">
        <v>70.8</v>
      </c>
    </row>
    <row r="840" spans="1:15" x14ac:dyDescent="0.25">
      <c r="A840">
        <v>210</v>
      </c>
      <c r="B840" t="s">
        <v>9</v>
      </c>
      <c r="C840" s="1">
        <v>33212</v>
      </c>
      <c r="D840" s="1" t="s">
        <v>46</v>
      </c>
      <c r="E840">
        <v>43.844110000000001</v>
      </c>
      <c r="F840">
        <v>10.525460000000001</v>
      </c>
      <c r="G840" s="1">
        <v>77150</v>
      </c>
      <c r="H840" s="1" t="s">
        <v>46</v>
      </c>
      <c r="I840">
        <v>43.860230000000001</v>
      </c>
      <c r="J840">
        <v>10.51596</v>
      </c>
      <c r="K840">
        <v>2</v>
      </c>
      <c r="L840">
        <v>153</v>
      </c>
      <c r="M840">
        <v>1069.4250399919681</v>
      </c>
      <c r="N840">
        <v>1</v>
      </c>
      <c r="O840">
        <v>153</v>
      </c>
    </row>
    <row r="841" spans="1:15" x14ac:dyDescent="0.25">
      <c r="A841">
        <v>210</v>
      </c>
      <c r="B841" t="s">
        <v>9</v>
      </c>
      <c r="C841" s="1">
        <v>33214</v>
      </c>
      <c r="D841" s="1" t="s">
        <v>51</v>
      </c>
      <c r="E841">
        <v>43.868270000000003</v>
      </c>
      <c r="F841">
        <v>10.252879999999999</v>
      </c>
      <c r="G841" s="1">
        <v>33220</v>
      </c>
      <c r="H841" s="1" t="s">
        <v>39</v>
      </c>
      <c r="I841">
        <v>43.894159999999999</v>
      </c>
      <c r="J841">
        <v>10.22714</v>
      </c>
      <c r="K841">
        <v>3</v>
      </c>
      <c r="L841">
        <v>210.7</v>
      </c>
      <c r="M841">
        <v>4642.2768781469513</v>
      </c>
      <c r="N841">
        <v>4</v>
      </c>
      <c r="O841">
        <v>210.7</v>
      </c>
    </row>
    <row r="842" spans="1:15" x14ac:dyDescent="0.25">
      <c r="A842">
        <v>210</v>
      </c>
      <c r="B842" t="s">
        <v>9</v>
      </c>
      <c r="C842" s="1">
        <v>33218</v>
      </c>
      <c r="D842" s="1" t="s">
        <v>52</v>
      </c>
      <c r="E842">
        <v>44.033050000000003</v>
      </c>
      <c r="F842">
        <v>10.50367</v>
      </c>
      <c r="G842" s="1">
        <v>33219</v>
      </c>
      <c r="H842" s="1" t="s">
        <v>47</v>
      </c>
      <c r="I842">
        <v>44.110500000000002</v>
      </c>
      <c r="J842">
        <v>10.41159</v>
      </c>
      <c r="K842">
        <v>24</v>
      </c>
      <c r="L842">
        <v>358.5</v>
      </c>
      <c r="M842">
        <v>4131.8694726962403</v>
      </c>
      <c r="N842">
        <v>1</v>
      </c>
      <c r="O842">
        <v>358.5</v>
      </c>
    </row>
    <row r="843" spans="1:15" x14ac:dyDescent="0.25">
      <c r="A843">
        <v>210</v>
      </c>
      <c r="B843" t="s">
        <v>9</v>
      </c>
      <c r="C843" s="1">
        <v>33220</v>
      </c>
      <c r="D843" s="1" t="s">
        <v>39</v>
      </c>
      <c r="E843">
        <v>43.894159999999999</v>
      </c>
      <c r="F843">
        <v>10.22714</v>
      </c>
      <c r="G843" s="1">
        <v>33221</v>
      </c>
      <c r="H843" s="1" t="s">
        <v>40</v>
      </c>
      <c r="I843">
        <v>43.956339999999997</v>
      </c>
      <c r="J843">
        <v>10.22996</v>
      </c>
      <c r="K843">
        <v>5</v>
      </c>
      <c r="L843">
        <v>168.3</v>
      </c>
      <c r="M843">
        <v>10164.398902832751</v>
      </c>
      <c r="N843">
        <v>4</v>
      </c>
      <c r="O843">
        <v>168.3</v>
      </c>
    </row>
    <row r="844" spans="1:15" x14ac:dyDescent="0.25">
      <c r="A844">
        <v>210</v>
      </c>
      <c r="B844" t="s">
        <v>9</v>
      </c>
      <c r="C844" s="1">
        <v>4144</v>
      </c>
      <c r="D844" s="1" t="s">
        <v>38</v>
      </c>
      <c r="E844">
        <v>43.568049999999999</v>
      </c>
      <c r="F844">
        <v>11.529260000000001</v>
      </c>
      <c r="G844" s="1">
        <v>25421</v>
      </c>
      <c r="H844" s="1" t="s">
        <v>41</v>
      </c>
      <c r="I844">
        <v>43.619419999999998</v>
      </c>
      <c r="J844">
        <v>11.47508</v>
      </c>
      <c r="K844">
        <v>2</v>
      </c>
      <c r="L844">
        <v>82.6</v>
      </c>
      <c r="M844">
        <v>6691.1980343133819</v>
      </c>
      <c r="N844">
        <v>1</v>
      </c>
      <c r="O844">
        <v>82.6</v>
      </c>
    </row>
    <row r="845" spans="1:15" x14ac:dyDescent="0.25">
      <c r="A845">
        <v>210</v>
      </c>
      <c r="B845" t="s">
        <v>9</v>
      </c>
      <c r="C845" s="1">
        <v>4144</v>
      </c>
      <c r="D845" s="1" t="s">
        <v>38</v>
      </c>
      <c r="E845">
        <v>43.568049999999999</v>
      </c>
      <c r="F845">
        <v>11.529260000000001</v>
      </c>
      <c r="G845" s="1">
        <v>4142</v>
      </c>
      <c r="H845" s="1" t="s">
        <v>42</v>
      </c>
      <c r="I845">
        <v>43.529310000000002</v>
      </c>
      <c r="J845">
        <v>11.56737</v>
      </c>
      <c r="K845">
        <v>4</v>
      </c>
      <c r="L845">
        <v>244.6</v>
      </c>
      <c r="M845">
        <v>1458.30687271632</v>
      </c>
      <c r="N845">
        <v>1</v>
      </c>
      <c r="O845">
        <v>244.6</v>
      </c>
    </row>
    <row r="846" spans="1:15" x14ac:dyDescent="0.25">
      <c r="A846">
        <v>210</v>
      </c>
      <c r="B846" t="s">
        <v>9</v>
      </c>
      <c r="C846" s="1">
        <v>46445</v>
      </c>
      <c r="D846" s="1" t="s">
        <v>35</v>
      </c>
      <c r="E846">
        <v>43.10801</v>
      </c>
      <c r="F846">
        <v>12.377940000000001</v>
      </c>
      <c r="G846" s="1">
        <v>46468</v>
      </c>
      <c r="H846" s="1" t="s">
        <v>33</v>
      </c>
      <c r="I846">
        <v>43.116489999999999</v>
      </c>
      <c r="J846">
        <v>12.45126</v>
      </c>
      <c r="K846">
        <v>7</v>
      </c>
      <c r="L846">
        <v>369.4</v>
      </c>
      <c r="M846">
        <v>9381.7742144749918</v>
      </c>
      <c r="N846">
        <v>3</v>
      </c>
      <c r="O846">
        <v>369.4</v>
      </c>
    </row>
    <row r="847" spans="1:15" x14ac:dyDescent="0.25">
      <c r="A847">
        <v>210</v>
      </c>
      <c r="B847" t="s">
        <v>9</v>
      </c>
      <c r="C847" s="1">
        <v>46445</v>
      </c>
      <c r="D847" s="1" t="s">
        <v>35</v>
      </c>
      <c r="E847">
        <v>43.10801</v>
      </c>
      <c r="F847">
        <v>12.377940000000001</v>
      </c>
      <c r="G847" s="1">
        <v>46471</v>
      </c>
      <c r="H847" s="1" t="s">
        <v>34</v>
      </c>
      <c r="I847">
        <v>43.10031</v>
      </c>
      <c r="J847">
        <v>12.318519999999999</v>
      </c>
      <c r="K847">
        <v>11</v>
      </c>
      <c r="L847">
        <v>377</v>
      </c>
      <c r="M847">
        <v>5420.0405435956563</v>
      </c>
      <c r="N847">
        <v>3</v>
      </c>
      <c r="O847">
        <v>377</v>
      </c>
    </row>
    <row r="848" spans="1:15" x14ac:dyDescent="0.25">
      <c r="A848">
        <v>210</v>
      </c>
      <c r="B848" t="s">
        <v>9</v>
      </c>
      <c r="C848" s="1">
        <v>46471</v>
      </c>
      <c r="D848" s="1" t="s">
        <v>34</v>
      </c>
      <c r="E848">
        <v>43.10031</v>
      </c>
      <c r="F848">
        <v>12.318519999999999</v>
      </c>
      <c r="G848" s="1">
        <v>46445</v>
      </c>
      <c r="H848" s="1" t="s">
        <v>35</v>
      </c>
      <c r="I848">
        <v>43.10801</v>
      </c>
      <c r="J848">
        <v>12.377940000000001</v>
      </c>
      <c r="K848">
        <v>11</v>
      </c>
      <c r="L848">
        <v>678.88</v>
      </c>
      <c r="M848">
        <v>1701.35801816904</v>
      </c>
      <c r="N848">
        <v>1</v>
      </c>
      <c r="O848">
        <v>678.88</v>
      </c>
    </row>
    <row r="849" spans="1:15" x14ac:dyDescent="0.25">
      <c r="A849">
        <v>210</v>
      </c>
      <c r="B849" t="s">
        <v>9</v>
      </c>
      <c r="C849" s="1">
        <v>59131</v>
      </c>
      <c r="D849" s="1" t="s">
        <v>45</v>
      </c>
      <c r="E849">
        <v>43.331879999999998</v>
      </c>
      <c r="F849">
        <v>11.32122</v>
      </c>
      <c r="G849" s="1">
        <v>59157</v>
      </c>
      <c r="H849" s="1" t="s">
        <v>45</v>
      </c>
      <c r="I849">
        <v>43.29034</v>
      </c>
      <c r="J849">
        <v>11.33822</v>
      </c>
      <c r="K849">
        <v>20</v>
      </c>
      <c r="L849">
        <v>1303.42</v>
      </c>
      <c r="M849">
        <v>4.8610229090543999</v>
      </c>
      <c r="N849">
        <v>2</v>
      </c>
      <c r="O849">
        <v>1303.42</v>
      </c>
    </row>
    <row r="850" spans="1:15" x14ac:dyDescent="0.25">
      <c r="A850">
        <v>210</v>
      </c>
      <c r="B850" t="s">
        <v>9</v>
      </c>
      <c r="C850" s="1">
        <v>59157</v>
      </c>
      <c r="D850" s="1" t="s">
        <v>45</v>
      </c>
      <c r="E850">
        <v>43.29034</v>
      </c>
      <c r="F850">
        <v>11.33822</v>
      </c>
      <c r="G850" s="1">
        <v>59131</v>
      </c>
      <c r="H850" s="1" t="s">
        <v>45</v>
      </c>
      <c r="I850">
        <v>43.331879999999998</v>
      </c>
      <c r="J850">
        <v>11.32122</v>
      </c>
      <c r="K850">
        <v>20</v>
      </c>
      <c r="L850">
        <v>408.4</v>
      </c>
      <c r="M850">
        <v>2187.4603090744799</v>
      </c>
      <c r="N850">
        <v>1</v>
      </c>
      <c r="O850">
        <v>408.4</v>
      </c>
    </row>
    <row r="851" spans="1:15" x14ac:dyDescent="0.25">
      <c r="A851">
        <v>210</v>
      </c>
      <c r="B851" t="s">
        <v>9</v>
      </c>
      <c r="C851" s="1">
        <v>77343</v>
      </c>
      <c r="D851" s="1" t="s">
        <v>43</v>
      </c>
      <c r="E851">
        <v>42.812559999999998</v>
      </c>
      <c r="F851">
        <v>10.31758</v>
      </c>
      <c r="G851" s="1">
        <v>32095</v>
      </c>
      <c r="H851" s="1" t="s">
        <v>43</v>
      </c>
      <c r="I851">
        <v>42.810519999999997</v>
      </c>
      <c r="J851">
        <v>10.30799</v>
      </c>
      <c r="K851">
        <v>3</v>
      </c>
      <c r="L851">
        <v>273.7</v>
      </c>
      <c r="M851">
        <v>291.661374543264</v>
      </c>
      <c r="N851">
        <v>1</v>
      </c>
      <c r="O851">
        <v>273.7</v>
      </c>
    </row>
    <row r="852" spans="1:15" x14ac:dyDescent="0.25">
      <c r="A852">
        <v>210</v>
      </c>
      <c r="B852" t="s">
        <v>9</v>
      </c>
      <c r="C852" s="1">
        <v>85210</v>
      </c>
      <c r="D852" s="1" t="s">
        <v>49</v>
      </c>
      <c r="E852">
        <v>43.928640000000001</v>
      </c>
      <c r="F852">
        <v>10.9284</v>
      </c>
      <c r="G852" s="1">
        <v>77334</v>
      </c>
      <c r="H852" s="1" t="s">
        <v>49</v>
      </c>
      <c r="I852">
        <v>43.939680000000003</v>
      </c>
      <c r="J852">
        <v>10.943490000000001</v>
      </c>
      <c r="K852">
        <v>1</v>
      </c>
      <c r="L852">
        <v>37</v>
      </c>
      <c r="M852">
        <v>850.67900908451998</v>
      </c>
      <c r="N852">
        <v>1</v>
      </c>
      <c r="O852">
        <v>37</v>
      </c>
    </row>
    <row r="853" spans="1:15" x14ac:dyDescent="0.25">
      <c r="A853">
        <v>210</v>
      </c>
      <c r="B853" t="s">
        <v>9</v>
      </c>
      <c r="C853" s="1">
        <v>92197</v>
      </c>
      <c r="D853" s="1" t="s">
        <v>53</v>
      </c>
      <c r="E853">
        <v>42.570590000000003</v>
      </c>
      <c r="F853">
        <v>12.632300000000001</v>
      </c>
      <c r="G853" s="1">
        <v>92198</v>
      </c>
      <c r="H853" s="1" t="s">
        <v>48</v>
      </c>
      <c r="I853">
        <v>42.529159999999997</v>
      </c>
      <c r="J853">
        <v>12.51361</v>
      </c>
      <c r="K853">
        <v>25</v>
      </c>
      <c r="L853">
        <v>475</v>
      </c>
      <c r="M853">
        <v>7218.6190199457833</v>
      </c>
      <c r="N853">
        <v>2</v>
      </c>
      <c r="O853">
        <v>475</v>
      </c>
    </row>
  </sheetData>
  <autoFilter ref="A1:O853" xr:uid="{E2F8A476-89C4-4149-9E92-C0736F43F7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4A73-AC7F-483C-8A0C-C79D80D91A97}">
  <dimension ref="A1:U34"/>
  <sheetViews>
    <sheetView workbookViewId="0">
      <selection activeCell="D1" sqref="D1"/>
    </sheetView>
  </sheetViews>
  <sheetFormatPr defaultRowHeight="15" x14ac:dyDescent="0.25"/>
  <cols>
    <col min="1" max="1" width="11.5703125" bestFit="1" customWidth="1"/>
    <col min="2" max="2" width="10.42578125" bestFit="1" customWidth="1"/>
    <col min="7" max="7" width="15.42578125" bestFit="1" customWidth="1"/>
    <col min="12" max="12" width="19" customWidth="1"/>
    <col min="13" max="14" width="13.140625" customWidth="1"/>
    <col min="15" max="15" width="2" customWidth="1"/>
    <col min="16" max="17" width="13.140625" customWidth="1"/>
    <col min="18" max="18" width="2" customWidth="1"/>
    <col min="19" max="20" width="12.7109375" customWidth="1"/>
  </cols>
  <sheetData>
    <row r="1" spans="1:21" x14ac:dyDescent="0.25">
      <c r="A1" t="s">
        <v>20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21" x14ac:dyDescent="0.25">
      <c r="A2" t="s">
        <v>7</v>
      </c>
      <c r="B2">
        <v>10</v>
      </c>
      <c r="C2">
        <v>7852.4386331364021</v>
      </c>
      <c r="D2">
        <v>4949.1220081816427</v>
      </c>
      <c r="E2">
        <v>5052.9131003353896</v>
      </c>
      <c r="F2">
        <v>77845.22</v>
      </c>
      <c r="G2">
        <v>24597.599999999999</v>
      </c>
    </row>
    <row r="3" spans="1:21" x14ac:dyDescent="0.25">
      <c r="A3" t="s">
        <v>7</v>
      </c>
      <c r="B3">
        <v>30</v>
      </c>
      <c r="C3">
        <v>16163.84899074074</v>
      </c>
      <c r="D3">
        <v>12023.56405165986</v>
      </c>
      <c r="E3">
        <v>9815.5000477851936</v>
      </c>
      <c r="F3">
        <v>77845.22</v>
      </c>
      <c r="G3">
        <v>24597.599999999999</v>
      </c>
    </row>
    <row r="4" spans="1:21" x14ac:dyDescent="0.25">
      <c r="A4" t="s">
        <v>7</v>
      </c>
      <c r="B4">
        <v>50</v>
      </c>
      <c r="C4">
        <v>20828.837085733681</v>
      </c>
      <c r="D4">
        <v>17570.255864995888</v>
      </c>
      <c r="E4">
        <v>14506.14622290942</v>
      </c>
      <c r="F4">
        <v>77845.22</v>
      </c>
      <c r="G4">
        <v>24597.599999999999</v>
      </c>
    </row>
    <row r="5" spans="1:21" x14ac:dyDescent="0.25">
      <c r="A5" t="s">
        <v>7</v>
      </c>
      <c r="B5">
        <v>70</v>
      </c>
      <c r="C5">
        <v>23288.000699112439</v>
      </c>
      <c r="D5">
        <v>21690.32622489733</v>
      </c>
      <c r="E5">
        <v>17750.940435350651</v>
      </c>
      <c r="F5">
        <v>77845.22</v>
      </c>
      <c r="G5">
        <v>24597.599999999999</v>
      </c>
      <c r="U5" s="4"/>
    </row>
    <row r="6" spans="1:21" x14ac:dyDescent="0.25">
      <c r="A6" t="s">
        <v>7</v>
      </c>
      <c r="B6">
        <v>90</v>
      </c>
      <c r="C6">
        <v>24514.122332011681</v>
      </c>
      <c r="D6">
        <v>23553.23963577321</v>
      </c>
      <c r="E6">
        <v>24253.1</v>
      </c>
      <c r="F6">
        <v>77845.22</v>
      </c>
      <c r="G6">
        <v>24597.599999999999</v>
      </c>
    </row>
    <row r="7" spans="1:21" x14ac:dyDescent="0.25">
      <c r="A7" t="s">
        <v>7</v>
      </c>
      <c r="B7">
        <v>110</v>
      </c>
      <c r="C7">
        <v>24585.206640224082</v>
      </c>
      <c r="D7">
        <v>24597.599981531279</v>
      </c>
      <c r="E7">
        <v>24597.599999999999</v>
      </c>
      <c r="F7">
        <v>77845.22</v>
      </c>
      <c r="G7">
        <v>24597.599999999999</v>
      </c>
    </row>
    <row r="8" spans="1:21" x14ac:dyDescent="0.25">
      <c r="A8" t="s">
        <v>7</v>
      </c>
      <c r="B8">
        <v>130</v>
      </c>
      <c r="C8">
        <v>24591.726262544129</v>
      </c>
      <c r="D8">
        <v>24597.599999999999</v>
      </c>
      <c r="E8">
        <v>24597.599999999999</v>
      </c>
      <c r="F8">
        <v>77845.22</v>
      </c>
      <c r="G8">
        <v>24597.599999999999</v>
      </c>
    </row>
    <row r="9" spans="1:21" x14ac:dyDescent="0.25">
      <c r="A9" t="s">
        <v>7</v>
      </c>
      <c r="B9">
        <v>150</v>
      </c>
      <c r="C9">
        <v>24597.599999999999</v>
      </c>
      <c r="D9">
        <v>24597.599999999999</v>
      </c>
      <c r="E9">
        <v>24308.6</v>
      </c>
      <c r="F9">
        <v>77845.22</v>
      </c>
      <c r="G9">
        <v>24597.599999999999</v>
      </c>
    </row>
    <row r="10" spans="1:21" x14ac:dyDescent="0.25">
      <c r="A10" t="s">
        <v>7</v>
      </c>
      <c r="B10">
        <v>170</v>
      </c>
      <c r="C10">
        <v>24597.599999999631</v>
      </c>
      <c r="D10">
        <v>24597.599999999999</v>
      </c>
      <c r="E10">
        <v>24597.599999999999</v>
      </c>
      <c r="F10">
        <v>77845.22</v>
      </c>
      <c r="G10">
        <v>24597.599999999999</v>
      </c>
    </row>
    <row r="11" spans="1:21" x14ac:dyDescent="0.25">
      <c r="A11" t="s">
        <v>7</v>
      </c>
      <c r="B11">
        <v>190</v>
      </c>
      <c r="C11">
        <v>24597.599999999999</v>
      </c>
      <c r="D11">
        <v>24597.599999999999</v>
      </c>
      <c r="E11">
        <v>24597.599999999999</v>
      </c>
      <c r="F11">
        <v>77845.22</v>
      </c>
      <c r="G11">
        <v>24597.599999999999</v>
      </c>
    </row>
    <row r="12" spans="1:21" x14ac:dyDescent="0.25">
      <c r="A12" t="s">
        <v>7</v>
      </c>
      <c r="B12">
        <v>210</v>
      </c>
      <c r="C12">
        <v>24597.599999999999</v>
      </c>
      <c r="D12">
        <v>24597.599999999999</v>
      </c>
      <c r="E12">
        <v>24597.599999999999</v>
      </c>
      <c r="F12">
        <v>77845.22</v>
      </c>
      <c r="G12">
        <v>24597.599999999999</v>
      </c>
    </row>
    <row r="13" spans="1:21" x14ac:dyDescent="0.25">
      <c r="A13" t="s">
        <v>9</v>
      </c>
      <c r="B13">
        <v>10</v>
      </c>
      <c r="C13">
        <v>16</v>
      </c>
      <c r="D13">
        <f>+E13</f>
        <v>33</v>
      </c>
      <c r="E13">
        <v>33</v>
      </c>
      <c r="F13">
        <v>257</v>
      </c>
      <c r="G13">
        <v>60</v>
      </c>
    </row>
    <row r="14" spans="1:21" x14ac:dyDescent="0.25">
      <c r="A14" t="s">
        <v>9</v>
      </c>
      <c r="B14">
        <v>30</v>
      </c>
      <c r="C14">
        <v>35</v>
      </c>
      <c r="D14">
        <v>46</v>
      </c>
      <c r="E14">
        <v>43</v>
      </c>
      <c r="F14">
        <v>257</v>
      </c>
      <c r="G14">
        <v>60</v>
      </c>
    </row>
    <row r="15" spans="1:21" x14ac:dyDescent="0.25">
      <c r="A15" t="s">
        <v>9</v>
      </c>
      <c r="B15">
        <v>50</v>
      </c>
      <c r="C15">
        <v>44</v>
      </c>
      <c r="D15">
        <v>52</v>
      </c>
      <c r="E15">
        <v>47</v>
      </c>
      <c r="F15">
        <v>257</v>
      </c>
      <c r="G15">
        <v>60</v>
      </c>
    </row>
    <row r="16" spans="1:21" x14ac:dyDescent="0.25">
      <c r="A16" t="s">
        <v>9</v>
      </c>
      <c r="B16">
        <v>70</v>
      </c>
      <c r="C16">
        <v>48</v>
      </c>
      <c r="D16">
        <v>57</v>
      </c>
      <c r="E16">
        <v>55</v>
      </c>
      <c r="F16">
        <v>257</v>
      </c>
      <c r="G16">
        <v>60</v>
      </c>
    </row>
    <row r="17" spans="1:7" x14ac:dyDescent="0.25">
      <c r="A17" t="s">
        <v>9</v>
      </c>
      <c r="B17">
        <v>90</v>
      </c>
      <c r="C17">
        <v>56</v>
      </c>
      <c r="D17">
        <v>60</v>
      </c>
      <c r="E17">
        <v>58</v>
      </c>
      <c r="F17">
        <v>257</v>
      </c>
      <c r="G17">
        <v>60</v>
      </c>
    </row>
    <row r="18" spans="1:7" x14ac:dyDescent="0.25">
      <c r="A18" t="s">
        <v>9</v>
      </c>
      <c r="B18">
        <v>110</v>
      </c>
      <c r="C18">
        <v>58</v>
      </c>
      <c r="D18">
        <v>60</v>
      </c>
      <c r="E18">
        <v>60</v>
      </c>
      <c r="F18">
        <v>257</v>
      </c>
      <c r="G18">
        <v>60</v>
      </c>
    </row>
    <row r="19" spans="1:7" x14ac:dyDescent="0.25">
      <c r="A19" t="s">
        <v>9</v>
      </c>
      <c r="B19">
        <v>130</v>
      </c>
      <c r="C19">
        <v>59</v>
      </c>
      <c r="D19">
        <v>60</v>
      </c>
      <c r="E19">
        <v>60</v>
      </c>
      <c r="F19">
        <v>257</v>
      </c>
      <c r="G19">
        <v>60</v>
      </c>
    </row>
    <row r="20" spans="1:7" x14ac:dyDescent="0.25">
      <c r="A20" t="s">
        <v>9</v>
      </c>
      <c r="B20">
        <v>150</v>
      </c>
      <c r="C20">
        <v>60</v>
      </c>
      <c r="D20">
        <v>60</v>
      </c>
      <c r="E20">
        <v>59</v>
      </c>
      <c r="F20">
        <v>257</v>
      </c>
      <c r="G20">
        <v>60</v>
      </c>
    </row>
    <row r="21" spans="1:7" x14ac:dyDescent="0.25">
      <c r="A21" t="s">
        <v>9</v>
      </c>
      <c r="B21">
        <v>170</v>
      </c>
      <c r="C21">
        <v>60</v>
      </c>
      <c r="D21">
        <v>60</v>
      </c>
      <c r="E21">
        <v>60</v>
      </c>
      <c r="F21">
        <v>257</v>
      </c>
      <c r="G21">
        <v>60</v>
      </c>
    </row>
    <row r="22" spans="1:7" x14ac:dyDescent="0.25">
      <c r="A22" t="s">
        <v>9</v>
      </c>
      <c r="B22">
        <v>190</v>
      </c>
      <c r="C22">
        <v>60</v>
      </c>
      <c r="D22">
        <v>60</v>
      </c>
      <c r="E22">
        <v>60</v>
      </c>
      <c r="F22">
        <v>257</v>
      </c>
      <c r="G22">
        <v>60</v>
      </c>
    </row>
    <row r="23" spans="1:7" x14ac:dyDescent="0.25">
      <c r="A23" t="s">
        <v>9</v>
      </c>
      <c r="B23">
        <v>210</v>
      </c>
      <c r="C23">
        <v>60</v>
      </c>
      <c r="D23">
        <v>60</v>
      </c>
      <c r="E23">
        <v>60</v>
      </c>
      <c r="F23">
        <v>257</v>
      </c>
      <c r="G23">
        <v>60</v>
      </c>
    </row>
    <row r="24" spans="1:7" x14ac:dyDescent="0.25">
      <c r="A24" t="s">
        <v>8</v>
      </c>
      <c r="B24">
        <v>10</v>
      </c>
      <c r="C24">
        <v>29.43835473723345</v>
      </c>
      <c r="D24">
        <v>79.032940966860963</v>
      </c>
      <c r="E24">
        <v>83.918268990460632</v>
      </c>
      <c r="F24">
        <f>4490981.01238192/1000</f>
        <v>4490.9810123819198</v>
      </c>
      <c r="G24">
        <v>155.26107171519749</v>
      </c>
    </row>
    <row r="25" spans="1:7" x14ac:dyDescent="0.25">
      <c r="A25" t="s">
        <v>8</v>
      </c>
      <c r="B25">
        <v>30</v>
      </c>
      <c r="C25">
        <v>76.58298542069754</v>
      </c>
      <c r="D25">
        <v>106.8428530295612</v>
      </c>
      <c r="E25">
        <v>114.08091614114321</v>
      </c>
      <c r="F25">
        <f t="shared" ref="F25:F34" si="0">4490981.01238192/1000</f>
        <v>4490.9810123819198</v>
      </c>
      <c r="G25">
        <v>155.26107171519749</v>
      </c>
    </row>
    <row r="26" spans="1:7" x14ac:dyDescent="0.25">
      <c r="A26" t="s">
        <v>8</v>
      </c>
      <c r="B26">
        <v>50</v>
      </c>
      <c r="C26">
        <v>102.0061352350521</v>
      </c>
      <c r="D26">
        <v>124.70954273179061</v>
      </c>
      <c r="E26">
        <v>130.6570042610187</v>
      </c>
      <c r="F26">
        <f t="shared" si="0"/>
        <v>4490.9810123819198</v>
      </c>
      <c r="G26">
        <v>155.26107171519749</v>
      </c>
    </row>
    <row r="27" spans="1:7" x14ac:dyDescent="0.25">
      <c r="A27" t="s">
        <v>8</v>
      </c>
      <c r="B27">
        <v>70</v>
      </c>
      <c r="C27">
        <v>120.769683664002</v>
      </c>
      <c r="D27">
        <v>140.38634161349108</v>
      </c>
      <c r="E27">
        <v>144.39668551346102</v>
      </c>
      <c r="F27">
        <f t="shared" si="0"/>
        <v>4490.9810123819198</v>
      </c>
      <c r="G27">
        <v>155.26107171519749</v>
      </c>
    </row>
    <row r="28" spans="1:7" x14ac:dyDescent="0.25">
      <c r="A28" t="s">
        <v>8</v>
      </c>
      <c r="B28">
        <v>90</v>
      </c>
      <c r="C28">
        <v>143.5921862220124</v>
      </c>
      <c r="D28">
        <f>+E28</f>
        <v>152.77951952012529</v>
      </c>
      <c r="E28">
        <v>152.77951952012529</v>
      </c>
      <c r="F28">
        <f t="shared" si="0"/>
        <v>4490.9810123819198</v>
      </c>
      <c r="G28">
        <v>155.26107171519749</v>
      </c>
    </row>
    <row r="29" spans="1:7" x14ac:dyDescent="0.25">
      <c r="A29" t="s">
        <v>8</v>
      </c>
      <c r="B29">
        <v>110</v>
      </c>
      <c r="C29">
        <v>150.88372058559401</v>
      </c>
      <c r="D29">
        <v>155.26107171519749</v>
      </c>
      <c r="E29">
        <v>155.26107171519749</v>
      </c>
      <c r="F29">
        <f t="shared" si="0"/>
        <v>4490.9810123819198</v>
      </c>
      <c r="G29">
        <v>155.26107171519749</v>
      </c>
    </row>
    <row r="30" spans="1:7" x14ac:dyDescent="0.25">
      <c r="A30" t="s">
        <v>8</v>
      </c>
      <c r="B30">
        <v>130</v>
      </c>
      <c r="C30">
        <v>153.19513697884938</v>
      </c>
      <c r="D30">
        <v>155.26107171519749</v>
      </c>
      <c r="E30">
        <v>155.26107171519749</v>
      </c>
      <c r="F30">
        <f t="shared" si="0"/>
        <v>4490.9810123819198</v>
      </c>
      <c r="G30">
        <v>155.26107171519749</v>
      </c>
    </row>
    <row r="31" spans="1:7" x14ac:dyDescent="0.25">
      <c r="A31" t="s">
        <v>8</v>
      </c>
      <c r="B31">
        <v>150</v>
      </c>
      <c r="C31">
        <v>155.26107171519749</v>
      </c>
      <c r="D31">
        <v>155.26107171519749</v>
      </c>
      <c r="E31">
        <f>+D31</f>
        <v>155.26107171519749</v>
      </c>
      <c r="F31">
        <f t="shared" si="0"/>
        <v>4490.9810123819198</v>
      </c>
      <c r="G31">
        <v>155.26107171519749</v>
      </c>
    </row>
    <row r="32" spans="1:7" x14ac:dyDescent="0.25">
      <c r="A32" t="s">
        <v>8</v>
      </c>
      <c r="B32">
        <v>170</v>
      </c>
      <c r="C32">
        <v>155.26107171519749</v>
      </c>
      <c r="D32">
        <v>155.26107171519749</v>
      </c>
      <c r="E32">
        <v>155.26107171519749</v>
      </c>
      <c r="F32">
        <f t="shared" si="0"/>
        <v>4490.9810123819198</v>
      </c>
      <c r="G32">
        <v>155.26107171519749</v>
      </c>
    </row>
    <row r="33" spans="1:7" x14ac:dyDescent="0.25">
      <c r="A33" t="s">
        <v>8</v>
      </c>
      <c r="B33">
        <v>190</v>
      </c>
      <c r="C33">
        <v>155.26107171519749</v>
      </c>
      <c r="D33">
        <v>155.26107171519749</v>
      </c>
      <c r="E33">
        <v>155.26107171519749</v>
      </c>
      <c r="F33">
        <f t="shared" si="0"/>
        <v>4490.9810123819198</v>
      </c>
      <c r="G33">
        <v>155.26107171519749</v>
      </c>
    </row>
    <row r="34" spans="1:7" x14ac:dyDescent="0.25">
      <c r="A34" t="s">
        <v>8</v>
      </c>
      <c r="B34">
        <v>210</v>
      </c>
      <c r="C34">
        <v>155.26107171519749</v>
      </c>
      <c r="D34">
        <v>155.26107171519749</v>
      </c>
      <c r="E34">
        <v>155.26107171519749</v>
      </c>
      <c r="F34">
        <f t="shared" si="0"/>
        <v>4490.9810123819198</v>
      </c>
      <c r="G34">
        <v>155.26107171519749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280D-2837-4CAC-AAF8-823FFA6C2F2D}">
  <dimension ref="B2:K13"/>
  <sheetViews>
    <sheetView workbookViewId="0">
      <selection activeCell="I13" sqref="I13"/>
    </sheetView>
  </sheetViews>
  <sheetFormatPr defaultRowHeight="15" x14ac:dyDescent="0.25"/>
  <cols>
    <col min="2" max="2" width="19" customWidth="1"/>
    <col min="3" max="4" width="13.140625" customWidth="1"/>
    <col min="5" max="5" width="2" customWidth="1"/>
    <col min="6" max="7" width="13.140625" customWidth="1"/>
    <col min="8" max="8" width="2" customWidth="1"/>
    <col min="9" max="10" width="12.7109375" customWidth="1"/>
  </cols>
  <sheetData>
    <row r="2" spans="2:11" x14ac:dyDescent="0.25">
      <c r="B2" t="s">
        <v>27</v>
      </c>
      <c r="C2" t="s">
        <v>15</v>
      </c>
    </row>
    <row r="5" spans="2:11" x14ac:dyDescent="0.25">
      <c r="B5" s="6"/>
      <c r="C5" s="15" t="s">
        <v>26</v>
      </c>
      <c r="D5" s="15"/>
      <c r="E5" s="6"/>
      <c r="F5" s="15" t="s">
        <v>22</v>
      </c>
      <c r="G5" s="15"/>
      <c r="H5" s="7"/>
      <c r="I5" s="15" t="s">
        <v>23</v>
      </c>
      <c r="J5" s="15"/>
      <c r="K5" s="4"/>
    </row>
    <row r="6" spans="2:11" x14ac:dyDescent="0.25">
      <c r="B6" s="8" t="s">
        <v>21</v>
      </c>
      <c r="C6" s="9" t="s">
        <v>24</v>
      </c>
      <c r="D6" s="10" t="s">
        <v>25</v>
      </c>
      <c r="E6" s="7"/>
      <c r="F6" s="9"/>
      <c r="G6" s="10" t="s">
        <v>25</v>
      </c>
      <c r="H6" s="6"/>
      <c r="I6" s="9" t="s">
        <v>24</v>
      </c>
      <c r="J6" s="10" t="s">
        <v>25</v>
      </c>
    </row>
    <row r="7" spans="2:11" x14ac:dyDescent="0.25">
      <c r="B7" s="8">
        <v>10</v>
      </c>
      <c r="C7" s="11">
        <f>+VLOOKUP(B7,'Dati complessivi'!$B$1:$E$12,IF($C$2="M1",2,IF($C$2="M2",3,IF($C$2="M3",4,5))),FALSE)</f>
        <v>7852.4386331364021</v>
      </c>
      <c r="D7" s="12">
        <f>+C7/$C$13</f>
        <v>0.10087245733439255</v>
      </c>
      <c r="E7" s="6"/>
      <c r="F7" s="13">
        <f>+VLOOKUP(B7,'Dati complessivi'!$B$13:$E$23,IF($C$2="M1",2,IF($C$2="M2",3,IF($C$2="M3",4,5))),FALSE)</f>
        <v>16</v>
      </c>
      <c r="G7" s="12">
        <f>+F7/$F$13</f>
        <v>6.2256809338521402E-2</v>
      </c>
      <c r="H7" s="6"/>
      <c r="I7" s="14">
        <f>+VLOOKUP(B7,'Dati complessivi'!$B$24:$E$34,IF($C$2="M1",2,IF($C$2="M2",3,IF($C$2="M3",4,5))),FALSE)</f>
        <v>29.43835473723345</v>
      </c>
      <c r="J7" s="12">
        <f>+I7/$I$13</f>
        <v>6.5549942553909798E-3</v>
      </c>
    </row>
    <row r="8" spans="2:11" x14ac:dyDescent="0.25">
      <c r="B8" s="8">
        <v>50</v>
      </c>
      <c r="C8" s="11">
        <f>+VLOOKUP(B8,'Dati complessivi'!$B$1:$E$12,IF($C$2="M1",2,IF($C$2="M2",3,IF($C$2="M3",4,5))),FALSE)</f>
        <v>20828.837085733681</v>
      </c>
      <c r="D8" s="12">
        <f>+C8/$C$13</f>
        <v>0.26756732251169285</v>
      </c>
      <c r="E8" s="6"/>
      <c r="F8" s="13">
        <f>+VLOOKUP(B8,'Dati complessivi'!$B$13:$E$23,IF($C$2="M1",2,IF($C$2="M2",3,IF($C$2="M3",4,5))),FALSE)</f>
        <v>44</v>
      </c>
      <c r="G8" s="12">
        <f>+F8/$F$13</f>
        <v>0.17120622568093385</v>
      </c>
      <c r="H8" s="6"/>
      <c r="I8" s="14">
        <f>+VLOOKUP(B8,'Dati complessivi'!$B$24:$E$34,IF($C$2="M1",2,IF($C$2="M2",3,IF($C$2="M3",4,5))),FALSE)</f>
        <v>102.0061352350521</v>
      </c>
      <c r="J8" s="12">
        <f>+I8/$I$13</f>
        <v>2.2713552997399612E-2</v>
      </c>
    </row>
    <row r="9" spans="2:11" x14ac:dyDescent="0.25">
      <c r="B9" s="8">
        <v>90</v>
      </c>
      <c r="C9" s="11">
        <f>+VLOOKUP(B9,'Dati complessivi'!$B$1:$E$12,IF($C$2="M1",2,IF($C$2="M2",3,IF($C$2="M3",4,5))),FALSE)</f>
        <v>24514.122332011681</v>
      </c>
      <c r="D9" s="12">
        <f>+C9/$C$13</f>
        <v>0.31490851117142044</v>
      </c>
      <c r="E9" s="6"/>
      <c r="F9" s="13">
        <f>+VLOOKUP(B9,'Dati complessivi'!$B$13:$E$23,IF($C$2="M1",2,IF($C$2="M2",3,IF($C$2="M3",4,5))),FALSE)</f>
        <v>56</v>
      </c>
      <c r="G9" s="12">
        <f>+F9/$F$13</f>
        <v>0.21789883268482491</v>
      </c>
      <c r="H9" s="6"/>
      <c r="I9" s="14">
        <f>+VLOOKUP(B9,'Dati complessivi'!$B$24:$E$34,IF($C$2="M1",2,IF($C$2="M2",3,IF($C$2="M3",4,5))),FALSE)</f>
        <v>143.5921862220124</v>
      </c>
      <c r="J9" s="12">
        <f>+I9/$I$13</f>
        <v>3.1973456540145599E-2</v>
      </c>
    </row>
    <row r="10" spans="2:11" x14ac:dyDescent="0.25">
      <c r="B10" s="8">
        <v>110</v>
      </c>
      <c r="C10" s="11">
        <f>+VLOOKUP(B10,'Dati complessivi'!$B$1:$E$12,IF($C$2="M1",2,IF($C$2="M2",3,IF($C$2="M3",4,5))),FALSE)</f>
        <v>24585.206640224082</v>
      </c>
      <c r="D10" s="12">
        <f>+C10/$C$13</f>
        <v>0.31582166047220472</v>
      </c>
      <c r="E10" s="6"/>
      <c r="F10" s="13">
        <f>+VLOOKUP(B10,'Dati complessivi'!$B$13:$E$23,IF($C$2="M1",2,IF($C$2="M2",3,IF($C$2="M3",4,5))),FALSE)</f>
        <v>58</v>
      </c>
      <c r="G10" s="12">
        <f>+F10/$F$13</f>
        <v>0.22568093385214008</v>
      </c>
      <c r="H10" s="6"/>
      <c r="I10" s="14">
        <f>+VLOOKUP(B10,'Dati complessivi'!$B$24:$E$34,IF($C$2="M1",2,IF($C$2="M2",3,IF($C$2="M3",4,5))),FALSE)</f>
        <v>150.88372058559401</v>
      </c>
      <c r="J10" s="12">
        <f>+I10/$I$13</f>
        <v>3.3597051550562786E-2</v>
      </c>
    </row>
    <row r="11" spans="2:11" x14ac:dyDescent="0.25">
      <c r="B11" s="8">
        <v>150</v>
      </c>
      <c r="C11" s="11">
        <f>+VLOOKUP(B11,'Dati complessivi'!$B$1:$E$12,IF($C$2="M1",2,IF($C$2="M2",3,IF($C$2="M3",4,5))),FALSE)</f>
        <v>24597.599999999999</v>
      </c>
      <c r="D11" s="12">
        <f>+C11/$C$13</f>
        <v>0.31598086562026539</v>
      </c>
      <c r="E11" s="6"/>
      <c r="F11" s="13">
        <f>+VLOOKUP(B11,'Dati complessivi'!$B$13:$E$23,IF($C$2="M1",2,IF($C$2="M2",3,IF($C$2="M3",4,5))),FALSE)</f>
        <v>60</v>
      </c>
      <c r="G11" s="12">
        <f>+F11/$F$13</f>
        <v>0.23346303501945526</v>
      </c>
      <c r="H11" s="6"/>
      <c r="I11" s="14">
        <f>+VLOOKUP(B11,'Dati complessivi'!$B$24:$E$34,IF($C$2="M1",2,IF($C$2="M2",3,IF($C$2="M3",4,5))),FALSE)</f>
        <v>155.26107171519749</v>
      </c>
      <c r="J11" s="12">
        <f>+I11/$I$13</f>
        <v>3.45717497551499E-2</v>
      </c>
    </row>
    <row r="12" spans="2:11" x14ac:dyDescent="0.25">
      <c r="B12" s="3"/>
      <c r="C12" s="5"/>
    </row>
    <row r="13" spans="2:11" x14ac:dyDescent="0.25">
      <c r="C13" s="5">
        <v>77845.22</v>
      </c>
      <c r="F13">
        <v>257</v>
      </c>
      <c r="I13">
        <f>4490981.01238192/1000</f>
        <v>4490.9810123819198</v>
      </c>
    </row>
  </sheetData>
  <mergeCells count="3">
    <mergeCell ref="C5:D5"/>
    <mergeCell ref="F5:G5"/>
    <mergeCell ref="I5:J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Data_mappa</vt:lpstr>
      <vt:lpstr>Dati complessivi</vt:lpstr>
      <vt:lpstr>Tabella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Nicolò Avogadro</dc:creator>
  <cp:lastModifiedBy>Nicolò Avogadro</cp:lastModifiedBy>
  <dcterms:created xsi:type="dcterms:W3CDTF">2025-11-03T15:17:57Z</dcterms:created>
  <dcterms:modified xsi:type="dcterms:W3CDTF">2025-11-07T15:41:16Z</dcterms:modified>
</cp:coreProperties>
</file>